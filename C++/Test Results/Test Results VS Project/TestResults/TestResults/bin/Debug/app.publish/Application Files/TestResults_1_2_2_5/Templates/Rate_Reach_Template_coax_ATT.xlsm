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7.xml" ContentType="application/vnd.openxmlformats-officedocument.drawingml.chart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9.xml" ContentType="application/vnd.openxmlformats-officedocument.drawingml.chart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1.xml" ContentType="application/vnd.openxmlformats-officedocument.drawingml.chart+xml"/>
  <Override PartName="/xl/drawings/drawing17.xml" ContentType="application/vnd.openxmlformats-officedocument.drawingml.chartshapes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charts/chart14.xml" ContentType="application/vnd.openxmlformats-officedocument.drawingml.chart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5.xml" ContentType="application/vnd.openxmlformats-officedocument.drawingml.chart+xml"/>
  <Override PartName="/xl/drawings/drawing23.xml" ContentType="application/vnd.openxmlformats-officedocument.drawingml.chartshapes+xml"/>
  <Override PartName="/xl/charts/chart16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17.xml" ContentType="application/vnd.openxmlformats-officedocument.drawingml.chart+xml"/>
  <Override PartName="/xl/drawings/drawing26.xml" ContentType="application/vnd.openxmlformats-officedocument.drawingml.chartshapes+xml"/>
  <Override PartName="/xl/charts/chart18.xml" ContentType="application/vnd.openxmlformats-officedocument.drawingml.chart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19.xml" ContentType="application/vnd.openxmlformats-officedocument.drawingml.chart+xml"/>
  <Override PartName="/xl/drawings/drawing29.xml" ContentType="application/vnd.openxmlformats-officedocument.drawingml.chartshapes+xml"/>
  <Override PartName="/xl/charts/chart20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1.xml" ContentType="application/vnd.openxmlformats-officedocument.drawingml.chart+xml"/>
  <Override PartName="/xl/drawings/drawing32.xml" ContentType="application/vnd.openxmlformats-officedocument.drawingml.chartshapes+xml"/>
  <Override PartName="/xl/charts/chart22.xml" ContentType="application/vnd.openxmlformats-officedocument.drawingml.chart+xml"/>
  <Override PartName="/xl/drawings/drawing33.xml" ContentType="application/vnd.openxmlformats-officedocument.drawingml.chartshapes+xml"/>
  <Override PartName="/xl/drawings/drawing34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drawings/drawing35.xml" ContentType="application/vnd.openxmlformats-officedocument.drawingml.chartshapes+xml"/>
  <Override PartName="/xl/charts/chart24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5.xml" ContentType="application/vnd.openxmlformats-officedocument.drawingml.chart+xml"/>
  <Override PartName="/xl/drawings/drawing38.xml" ContentType="application/vnd.openxmlformats-officedocument.drawingml.chartshapes+xml"/>
  <Override PartName="/xl/charts/chart26.xml" ContentType="application/vnd.openxmlformats-officedocument.drawingml.chart+xml"/>
  <Override PartName="/xl/drawings/drawing39.xml" ContentType="application/vnd.openxmlformats-officedocument.drawingml.chartshapes+xml"/>
  <Override PartName="/xl/drawings/drawing40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drawings/drawing41.xml" ContentType="application/vnd.openxmlformats-officedocument.drawingml.chartshapes+xml"/>
  <Override PartName="/xl/charts/chart28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9.xml" ContentType="application/vnd.openxmlformats-officedocument.drawingml.chart+xml"/>
  <Override PartName="/xl/drawings/drawing44.xml" ContentType="application/vnd.openxmlformats-officedocument.drawingml.chartshapes+xml"/>
  <Override PartName="/xl/charts/chart30.xml" ContentType="application/vnd.openxmlformats-officedocument.drawingml.chart+xml"/>
  <Override PartName="/xl/drawings/drawing45.xml" ContentType="application/vnd.openxmlformats-officedocument.drawingml.chartshapes+xml"/>
  <Override PartName="/xl/drawings/drawing46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1.xml" ContentType="application/vnd.openxmlformats-officedocument.drawingml.chart+xml"/>
  <Override PartName="/xl/drawings/drawing47.xml" ContentType="application/vnd.openxmlformats-officedocument.drawingml.chartshapes+xml"/>
  <Override PartName="/xl/charts/chart32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3.xml" ContentType="application/vnd.openxmlformats-officedocument.drawingml.chart+xml"/>
  <Override PartName="/xl/drawings/drawing50.xml" ContentType="application/vnd.openxmlformats-officedocument.drawingml.chartshapes+xml"/>
  <Override PartName="/xl/charts/chart34.xml" ContentType="application/vnd.openxmlformats-officedocument.drawingml.chart+xml"/>
  <Override PartName="/xl/drawings/drawing51.xml" ContentType="application/vnd.openxmlformats-officedocument.drawingml.chartshapes+xml"/>
  <Override PartName="/xl/drawings/drawing5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drawings/drawing53.xml" ContentType="application/vnd.openxmlformats-officedocument.drawingml.chartshapes+xml"/>
  <Override PartName="/xl/charts/chart36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drawings/drawing56.xml" ContentType="application/vnd.openxmlformats-officedocument.drawingml.chartshapes+xml"/>
  <Override PartName="/xl/charts/chart38.xml" ContentType="application/vnd.openxmlformats-officedocument.drawingml.chart+xml"/>
  <Override PartName="/xl/drawings/drawing57.xml" ContentType="application/vnd.openxmlformats-officedocument.drawingml.chartshapes+xml"/>
  <Override PartName="/xl/drawings/drawing5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drawings/drawing59.xml" ContentType="application/vnd.openxmlformats-officedocument.drawingml.chartshapes+xml"/>
  <Override PartName="/xl/charts/chart40.xml" ContentType="application/vnd.openxmlformats-officedocument.drawingml.chart+xml"/>
  <Override PartName="/xl/drawings/drawing6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9440" windowHeight="9825" activeTab="1"/>
  </bookViews>
  <sheets>
    <sheet name="10_10 distr" sheetId="8" r:id="rId1"/>
    <sheet name="10_10 DTV distr" sheetId="14" r:id="rId2"/>
    <sheet name="25_25 distr" sheetId="12" r:id="rId3"/>
    <sheet name="25_25 DTV distr" sheetId="15" r:id="rId4"/>
    <sheet name="50_50 distr" sheetId="13" r:id="rId5"/>
    <sheet name="50_50 DTV distr" sheetId="16" r:id="rId6"/>
    <sheet name="75_75 distr" sheetId="18" r:id="rId7"/>
    <sheet name="75_75 DTV distr" sheetId="19" r:id="rId8"/>
    <sheet name="100_100 distr" sheetId="20" r:id="rId9"/>
    <sheet name="100_100 DTV distr" sheetId="21" r:id="rId10"/>
    <sheet name="500_100 distr" sheetId="22" r:id="rId11"/>
    <sheet name="500_100 DTV distr" sheetId="23" r:id="rId12"/>
    <sheet name="Mds32 distr" sheetId="27" r:id="rId13"/>
    <sheet name="Mds32 DTV distr" sheetId="28" r:id="rId14"/>
    <sheet name="Mds29 distr" sheetId="24" r:id="rId15"/>
    <sheet name="Mds29 DTV distr" sheetId="29" r:id="rId16"/>
    <sheet name="Mds28 distr" sheetId="25" r:id="rId17"/>
    <sheet name="Mds28 DTV distr" sheetId="30" r:id="rId18"/>
    <sheet name="Mds18 distr" sheetId="26" r:id="rId19"/>
    <sheet name="Mds18 DTV distr" sheetId="31" r:id="rId20"/>
    <sheet name="config" sheetId="2" r:id="rId21"/>
    <sheet name="config DTV" sheetId="17" r:id="rId22"/>
    <sheet name="Sheet1" sheetId="3" r:id="rId23"/>
  </sheets>
  <functionGroups builtInGroupCount="17"/>
  <definedNames>
    <definedName name="line_status" localSheetId="0">'10_10 distr'!$D$51:$AQ$67</definedName>
    <definedName name="line_status" localSheetId="1">'10_10 DTV distr'!$D$51:$AQ$67</definedName>
    <definedName name="line_status" localSheetId="8">'100_100 distr'!$D$51:$AQ$67</definedName>
    <definedName name="line_status" localSheetId="9">'100_100 DTV distr'!$D$51:$AQ$67</definedName>
    <definedName name="line_status" localSheetId="2">'25_25 distr'!$D$51:$AQ$67</definedName>
    <definedName name="line_status" localSheetId="3">'25_25 DTV distr'!$D$51:$AQ$67</definedName>
    <definedName name="line_status" localSheetId="4">'50_50 distr'!$D$51:$AQ$67</definedName>
    <definedName name="line_status" localSheetId="5">'50_50 DTV distr'!$D$51:$AQ$67</definedName>
    <definedName name="line_status" localSheetId="10">'500_100 distr'!$D$51:$AQ$67</definedName>
    <definedName name="line_status" localSheetId="11">'500_100 DTV distr'!$D$51:$AQ$67</definedName>
    <definedName name="line_status" localSheetId="6">'75_75 distr'!$D$51:$AQ$67</definedName>
    <definedName name="line_status" localSheetId="7">'75_75 DTV distr'!$D$51:$AQ$67</definedName>
    <definedName name="line_status" localSheetId="18">'Mds18 distr'!$D$51:$AQ$67</definedName>
    <definedName name="line_status" localSheetId="19">'Mds18 DTV distr'!$D$51:$AQ$67</definedName>
    <definedName name="line_status" localSheetId="16">'Mds28 distr'!$D$51:$AQ$67</definedName>
    <definedName name="line_status" localSheetId="17">'Mds28 DTV distr'!$D$51:$AQ$67</definedName>
    <definedName name="line_status" localSheetId="14">'Mds29 distr'!$D$51:$AQ$67</definedName>
    <definedName name="line_status" localSheetId="15">'Mds29 DTV distr'!$D$51:$AQ$67</definedName>
    <definedName name="line_status" localSheetId="12">'Mds32 distr'!$D$51:$AQ$67</definedName>
    <definedName name="line_status" localSheetId="13">'Mds32 DTV distr'!$D$51:$AQ$67</definedName>
    <definedName name="line_status_1" localSheetId="0">'10_10 distr'!$D$51:$AQ$67</definedName>
    <definedName name="line_status_1" localSheetId="1">'10_10 DTV distr'!$D$51:$AQ$67</definedName>
    <definedName name="line_status_1" localSheetId="8">'100_100 distr'!$D$51:$AQ$67</definedName>
    <definedName name="line_status_1" localSheetId="9">'100_100 DTV distr'!$D$51:$AQ$67</definedName>
    <definedName name="line_status_1" localSheetId="2">'25_25 distr'!$D$51:$AQ$67</definedName>
    <definedName name="line_status_1" localSheetId="3">'25_25 DTV distr'!$D$51:$AQ$67</definedName>
    <definedName name="line_status_1" localSheetId="4">'50_50 distr'!$D$51:$AQ$67</definedName>
    <definedName name="line_status_1" localSheetId="5">'50_50 DTV distr'!$D$51:$AQ$67</definedName>
    <definedName name="line_status_1" localSheetId="10">'500_100 distr'!$D$51:$AQ$67</definedName>
    <definedName name="line_status_1" localSheetId="11">'500_100 DTV distr'!$D$51:$AQ$67</definedName>
    <definedName name="line_status_1" localSheetId="6">'75_75 distr'!$D$51:$AQ$67</definedName>
    <definedName name="line_status_1" localSheetId="7">'75_75 DTV distr'!$D$51:$AQ$67</definedName>
    <definedName name="line_status_1" localSheetId="18">'Mds18 distr'!$D$51:$AQ$67</definedName>
    <definedName name="line_status_1" localSheetId="19">'Mds18 DTV distr'!$D$51:$AQ$67</definedName>
    <definedName name="line_status_1" localSheetId="16">'Mds28 distr'!$D$51:$AQ$67</definedName>
    <definedName name="line_status_1" localSheetId="17">'Mds28 DTV distr'!$D$51:$AQ$67</definedName>
    <definedName name="line_status_1" localSheetId="14">'Mds29 distr'!$D$51:$AQ$67</definedName>
    <definedName name="line_status_1" localSheetId="15">'Mds29 DTV distr'!$D$51:$AQ$67</definedName>
    <definedName name="line_status_1" localSheetId="12">'Mds32 distr'!$D$51:$AQ$67</definedName>
    <definedName name="line_status_1" localSheetId="13">'Mds32 DTV distr'!$D$51:$AQ$67</definedName>
    <definedName name="line_status_2" localSheetId="0">'10_10 distr'!$D$51:$AQ$67</definedName>
    <definedName name="line_status_2" localSheetId="1">'10_10 DTV distr'!$D$51:$AQ$67</definedName>
    <definedName name="line_status_2" localSheetId="8">'100_100 distr'!$D$51:$S$67</definedName>
    <definedName name="line_status_2" localSheetId="9">'100_100 DTV distr'!$D$51:$S$67</definedName>
    <definedName name="line_status_2" localSheetId="2">'25_25 distr'!$D$51:$AQ$67</definedName>
    <definedName name="line_status_2" localSheetId="3">'25_25 DTV distr'!$D$51:$AQ$67</definedName>
    <definedName name="line_status_2" localSheetId="4">'50_50 distr'!$D$51:$AQ$67</definedName>
    <definedName name="line_status_2" localSheetId="5">'50_50 DTV distr'!$D$51:$AQ$67</definedName>
    <definedName name="line_status_2" localSheetId="10">'500_100 distr'!$D$51:$S$67</definedName>
    <definedName name="line_status_2" localSheetId="11">'500_100 DTV distr'!$D$51:$S$67</definedName>
    <definedName name="line_status_2" localSheetId="6">'75_75 distr'!$D$51:$AQ$67</definedName>
    <definedName name="line_status_2" localSheetId="7">'75_75 DTV distr'!$D$51:$AQ$67</definedName>
    <definedName name="line_status_2" localSheetId="18">'Mds18 distr'!$D$51:$S$67</definedName>
    <definedName name="line_status_2" localSheetId="19">'Mds18 DTV distr'!$D$51:$S$67</definedName>
    <definedName name="line_status_2" localSheetId="16">'Mds28 distr'!$D$51:$S$67</definedName>
    <definedName name="line_status_2" localSheetId="17">'Mds28 DTV distr'!$D$51:$S$67</definedName>
    <definedName name="line_status_2" localSheetId="14">'Mds29 distr'!$D$51:$S$67</definedName>
    <definedName name="line_status_2" localSheetId="15">'Mds29 DTV distr'!$D$51:$S$67</definedName>
    <definedName name="line_status_2" localSheetId="12">'Mds32 distr'!$D$51:$S$67</definedName>
    <definedName name="line_status_2" localSheetId="13">'Mds32 DTV distr'!$D$51:$S$67</definedName>
    <definedName name="line_status_3" localSheetId="0">'10_10 distr'!$D$51:$S$67</definedName>
    <definedName name="line_status_3" localSheetId="1">'10_10 DTV distr'!$D$51:$S$67</definedName>
    <definedName name="line_status_3" localSheetId="2">'25_25 distr'!$D$51:$S$67</definedName>
    <definedName name="line_status_3" localSheetId="3">'25_25 DTV distr'!$D$51:$S$67</definedName>
    <definedName name="line_status_3" localSheetId="4">'50_50 distr'!$D$51:$S$67</definedName>
    <definedName name="line_status_3" localSheetId="5">'50_50 DTV distr'!$D$51:$S$67</definedName>
    <definedName name="line_status_3" localSheetId="6">'75_75 distr'!$D$51:$S$67</definedName>
    <definedName name="line_status_3" localSheetId="7">'75_75 DTV distr'!$D$51:$S$67</definedName>
    <definedName name="test" localSheetId="1">#REF!</definedName>
    <definedName name="test" localSheetId="8">#REF!</definedName>
    <definedName name="test" localSheetId="9">#REF!</definedName>
    <definedName name="test" localSheetId="2">#REF!</definedName>
    <definedName name="test" localSheetId="3">#REF!</definedName>
    <definedName name="test" localSheetId="4">#REF!</definedName>
    <definedName name="test" localSheetId="5">#REF!</definedName>
    <definedName name="test" localSheetId="10">#REF!</definedName>
    <definedName name="test" localSheetId="11">#REF!</definedName>
    <definedName name="test" localSheetId="7">#REF!</definedName>
    <definedName name="test" localSheetId="21">#REF!</definedName>
    <definedName name="test" localSheetId="18">#REF!</definedName>
    <definedName name="test" localSheetId="19">#REF!</definedName>
    <definedName name="test" localSheetId="16">#REF!</definedName>
    <definedName name="test" localSheetId="17">#REF!</definedName>
    <definedName name="test" localSheetId="14">#REF!</definedName>
    <definedName name="test" localSheetId="15">#REF!</definedName>
    <definedName name="test" localSheetId="12">#REF!</definedName>
    <definedName name="test" localSheetId="13">#REF!</definedName>
    <definedName name="test">#REF!</definedName>
  </definedNames>
  <calcPr calcId="145621"/>
</workbook>
</file>

<file path=xl/calcChain.xml><?xml version="1.0" encoding="utf-8"?>
<calcChain xmlns="http://schemas.openxmlformats.org/spreadsheetml/2006/main">
  <c r="C67" i="31" l="1"/>
  <c r="C66" i="31"/>
  <c r="C65" i="31"/>
  <c r="C64" i="31"/>
  <c r="C63" i="31"/>
  <c r="C62" i="31"/>
  <c r="C61" i="31"/>
  <c r="C60" i="31"/>
  <c r="C59" i="31"/>
  <c r="C58" i="31"/>
  <c r="C57" i="31"/>
  <c r="C56" i="31"/>
  <c r="C55" i="31"/>
  <c r="C54" i="31"/>
  <c r="C53" i="31"/>
  <c r="C52" i="31"/>
  <c r="T9" i="31"/>
  <c r="S9" i="31"/>
  <c r="R9" i="31"/>
  <c r="Q9" i="31"/>
  <c r="P9" i="31"/>
  <c r="O9" i="31"/>
  <c r="N9" i="31"/>
  <c r="M9" i="31"/>
  <c r="L9" i="31"/>
  <c r="K9" i="31"/>
  <c r="J9" i="31"/>
  <c r="I9" i="31"/>
  <c r="H9" i="31"/>
  <c r="G9" i="31"/>
  <c r="F9" i="31"/>
  <c r="E9" i="31"/>
  <c r="T8" i="31"/>
  <c r="S8" i="31"/>
  <c r="R8" i="31"/>
  <c r="Q8" i="31"/>
  <c r="P8" i="31"/>
  <c r="O8" i="31"/>
  <c r="N8" i="31"/>
  <c r="M8" i="31"/>
  <c r="L8" i="31"/>
  <c r="K8" i="31"/>
  <c r="J8" i="31"/>
  <c r="I8" i="31"/>
  <c r="H8" i="31"/>
  <c r="G8" i="31"/>
  <c r="F8" i="31"/>
  <c r="E8" i="31"/>
  <c r="AO7" i="31"/>
  <c r="AN7" i="31"/>
  <c r="AM7" i="31"/>
  <c r="AL7" i="31"/>
  <c r="AK7" i="31"/>
  <c r="AJ7" i="31"/>
  <c r="AI7" i="31"/>
  <c r="AH7" i="31"/>
  <c r="AG7" i="31"/>
  <c r="AF7" i="31"/>
  <c r="AE7" i="31"/>
  <c r="AD7" i="31"/>
  <c r="AC7" i="31"/>
  <c r="AB7" i="31"/>
  <c r="AA7" i="31"/>
  <c r="Z7" i="31"/>
  <c r="AO6" i="31"/>
  <c r="AN6" i="31"/>
  <c r="AM6" i="31"/>
  <c r="AL6" i="31"/>
  <c r="AK6" i="31"/>
  <c r="AJ6" i="31"/>
  <c r="AI6" i="31"/>
  <c r="AH6" i="31"/>
  <c r="AG6" i="31"/>
  <c r="AF6" i="31"/>
  <c r="AE6" i="31"/>
  <c r="AD6" i="31"/>
  <c r="AC6" i="31"/>
  <c r="AB6" i="31"/>
  <c r="AA6" i="31"/>
  <c r="Z6" i="31"/>
  <c r="T6" i="31"/>
  <c r="S6" i="31"/>
  <c r="R6" i="31"/>
  <c r="Q6" i="31"/>
  <c r="P6" i="31"/>
  <c r="O6" i="31"/>
  <c r="N6" i="31"/>
  <c r="M6" i="31"/>
  <c r="L6" i="31"/>
  <c r="K6" i="31"/>
  <c r="J6" i="31"/>
  <c r="I6" i="31"/>
  <c r="H6" i="31"/>
  <c r="G6" i="31"/>
  <c r="F6" i="31"/>
  <c r="E6" i="31"/>
  <c r="AO5" i="31"/>
  <c r="AN5" i="31"/>
  <c r="AM5" i="31"/>
  <c r="AL5" i="31"/>
  <c r="AK5" i="31"/>
  <c r="AJ5" i="31"/>
  <c r="AI5" i="31"/>
  <c r="AH5" i="31"/>
  <c r="AG5" i="31"/>
  <c r="AF5" i="31"/>
  <c r="AE5" i="31"/>
  <c r="AD5" i="31"/>
  <c r="AC5" i="31"/>
  <c r="AB5" i="31"/>
  <c r="AA5" i="31"/>
  <c r="Z5" i="31"/>
  <c r="T5" i="31"/>
  <c r="T7" i="31" s="1"/>
  <c r="S5" i="31"/>
  <c r="S7" i="31" s="1"/>
  <c r="R5" i="31"/>
  <c r="R7" i="31" s="1"/>
  <c r="Q5" i="31"/>
  <c r="Q7" i="31" s="1"/>
  <c r="P5" i="31"/>
  <c r="P7" i="31" s="1"/>
  <c r="O5" i="31"/>
  <c r="O7" i="31" s="1"/>
  <c r="N5" i="31"/>
  <c r="N7" i="31" s="1"/>
  <c r="M5" i="31"/>
  <c r="M7" i="31" s="1"/>
  <c r="L5" i="31"/>
  <c r="L7" i="31" s="1"/>
  <c r="K5" i="31"/>
  <c r="K7" i="31" s="1"/>
  <c r="J5" i="31"/>
  <c r="J7" i="31" s="1"/>
  <c r="I5" i="31"/>
  <c r="I7" i="31" s="1"/>
  <c r="H5" i="31"/>
  <c r="H7" i="31" s="1"/>
  <c r="G5" i="31"/>
  <c r="G7" i="31" s="1"/>
  <c r="F5" i="31"/>
  <c r="F7" i="31" s="1"/>
  <c r="E5" i="31"/>
  <c r="E7" i="31" s="1"/>
  <c r="T4" i="31"/>
  <c r="S4" i="31"/>
  <c r="R4" i="31"/>
  <c r="Q4" i="31"/>
  <c r="P4" i="31"/>
  <c r="O4" i="31"/>
  <c r="N4" i="31"/>
  <c r="M4" i="31"/>
  <c r="L4" i="31"/>
  <c r="K4" i="31"/>
  <c r="J4" i="31"/>
  <c r="I4" i="31"/>
  <c r="H4" i="31"/>
  <c r="G4" i="31"/>
  <c r="F4" i="31"/>
  <c r="E4" i="31"/>
  <c r="AO2" i="31"/>
  <c r="AN2" i="31"/>
  <c r="AM2" i="31"/>
  <c r="AL2" i="31"/>
  <c r="AK2" i="31"/>
  <c r="AJ2" i="31"/>
  <c r="AI2" i="31"/>
  <c r="AH2" i="31"/>
  <c r="AG2" i="31"/>
  <c r="AF2" i="31"/>
  <c r="AE2" i="31"/>
  <c r="AD2" i="31"/>
  <c r="AC2" i="31"/>
  <c r="AB2" i="31"/>
  <c r="AA2" i="31"/>
  <c r="Z2" i="31"/>
  <c r="T2" i="31"/>
  <c r="S2" i="31"/>
  <c r="R2" i="31"/>
  <c r="Q2" i="31"/>
  <c r="P2" i="31"/>
  <c r="O2" i="31"/>
  <c r="N2" i="31"/>
  <c r="M2" i="31"/>
  <c r="L2" i="31"/>
  <c r="K2" i="31"/>
  <c r="J2" i="31"/>
  <c r="I2" i="31"/>
  <c r="H2" i="31"/>
  <c r="G2" i="31"/>
  <c r="F2" i="31"/>
  <c r="E2" i="31"/>
  <c r="C67" i="30"/>
  <c r="C66" i="30"/>
  <c r="C65" i="30"/>
  <c r="C64" i="30"/>
  <c r="C63" i="30"/>
  <c r="C62" i="30"/>
  <c r="C61" i="30"/>
  <c r="C60" i="30"/>
  <c r="C59" i="30"/>
  <c r="C58" i="30"/>
  <c r="C57" i="30"/>
  <c r="C56" i="30"/>
  <c r="C55" i="30"/>
  <c r="C54" i="30"/>
  <c r="C53" i="30"/>
  <c r="C52" i="30"/>
  <c r="T9" i="30"/>
  <c r="S9" i="30"/>
  <c r="R9" i="30"/>
  <c r="Q9" i="30"/>
  <c r="P9" i="30"/>
  <c r="O9" i="30"/>
  <c r="N9" i="30"/>
  <c r="M9" i="30"/>
  <c r="L9" i="30"/>
  <c r="K9" i="30"/>
  <c r="J9" i="30"/>
  <c r="I9" i="30"/>
  <c r="H9" i="30"/>
  <c r="G9" i="30"/>
  <c r="F9" i="30"/>
  <c r="E9" i="30"/>
  <c r="T8" i="30"/>
  <c r="S8" i="30"/>
  <c r="R8" i="30"/>
  <c r="Q8" i="30"/>
  <c r="P8" i="30"/>
  <c r="O8" i="30"/>
  <c r="N8" i="30"/>
  <c r="M8" i="30"/>
  <c r="L8" i="30"/>
  <c r="K8" i="30"/>
  <c r="J8" i="30"/>
  <c r="I8" i="30"/>
  <c r="H8" i="30"/>
  <c r="G8" i="30"/>
  <c r="F8" i="30"/>
  <c r="E8" i="30"/>
  <c r="AO7" i="30"/>
  <c r="AN7" i="30"/>
  <c r="AM7" i="30"/>
  <c r="AL7" i="30"/>
  <c r="AK7" i="30"/>
  <c r="AJ7" i="30"/>
  <c r="AI7" i="30"/>
  <c r="AH7" i="30"/>
  <c r="AG7" i="30"/>
  <c r="AF7" i="30"/>
  <c r="AE7" i="30"/>
  <c r="AD7" i="30"/>
  <c r="AC7" i="30"/>
  <c r="AB7" i="30"/>
  <c r="AA7" i="30"/>
  <c r="Z7" i="30"/>
  <c r="AO6" i="30"/>
  <c r="AN6" i="30"/>
  <c r="AM6" i="30"/>
  <c r="AL6" i="30"/>
  <c r="AK6" i="30"/>
  <c r="AJ6" i="30"/>
  <c r="AI6" i="30"/>
  <c r="AH6" i="30"/>
  <c r="AG6" i="30"/>
  <c r="AF6" i="30"/>
  <c r="AE6" i="30"/>
  <c r="AD6" i="30"/>
  <c r="AC6" i="30"/>
  <c r="AB6" i="30"/>
  <c r="AA6" i="30"/>
  <c r="Z6" i="30"/>
  <c r="T6" i="30"/>
  <c r="S6" i="30"/>
  <c r="R6" i="30"/>
  <c r="Q6" i="30"/>
  <c r="P6" i="30"/>
  <c r="O6" i="30"/>
  <c r="N6" i="30"/>
  <c r="M6" i="30"/>
  <c r="L6" i="30"/>
  <c r="K6" i="30"/>
  <c r="J6" i="30"/>
  <c r="I6" i="30"/>
  <c r="H6" i="30"/>
  <c r="G6" i="30"/>
  <c r="F6" i="30"/>
  <c r="E6" i="30"/>
  <c r="AO5" i="30"/>
  <c r="AN5" i="30"/>
  <c r="AM5" i="30"/>
  <c r="AL5" i="30"/>
  <c r="AK5" i="30"/>
  <c r="AJ5" i="30"/>
  <c r="AI5" i="30"/>
  <c r="AH5" i="30"/>
  <c r="AG5" i="30"/>
  <c r="AF5" i="30"/>
  <c r="AE5" i="30"/>
  <c r="AD5" i="30"/>
  <c r="AC5" i="30"/>
  <c r="AB5" i="30"/>
  <c r="AA5" i="30"/>
  <c r="Z5" i="30"/>
  <c r="T5" i="30"/>
  <c r="T7" i="30" s="1"/>
  <c r="S5" i="30"/>
  <c r="S7" i="30" s="1"/>
  <c r="R5" i="30"/>
  <c r="R7" i="30" s="1"/>
  <c r="Q5" i="30"/>
  <c r="Q7" i="30" s="1"/>
  <c r="P5" i="30"/>
  <c r="P7" i="30" s="1"/>
  <c r="O5" i="30"/>
  <c r="O7" i="30" s="1"/>
  <c r="N5" i="30"/>
  <c r="N7" i="30" s="1"/>
  <c r="M5" i="30"/>
  <c r="M7" i="30" s="1"/>
  <c r="L5" i="30"/>
  <c r="L7" i="30" s="1"/>
  <c r="K5" i="30"/>
  <c r="K7" i="30" s="1"/>
  <c r="J5" i="30"/>
  <c r="J7" i="30" s="1"/>
  <c r="I5" i="30"/>
  <c r="I7" i="30" s="1"/>
  <c r="H5" i="30"/>
  <c r="H7" i="30" s="1"/>
  <c r="G5" i="30"/>
  <c r="G7" i="30" s="1"/>
  <c r="F5" i="30"/>
  <c r="F7" i="30" s="1"/>
  <c r="E5" i="30"/>
  <c r="E7" i="30" s="1"/>
  <c r="T4" i="30"/>
  <c r="S4" i="30"/>
  <c r="R4" i="30"/>
  <c r="Q4" i="30"/>
  <c r="P4" i="30"/>
  <c r="O4" i="30"/>
  <c r="N4" i="30"/>
  <c r="M4" i="30"/>
  <c r="L4" i="30"/>
  <c r="K4" i="30"/>
  <c r="J4" i="30"/>
  <c r="I4" i="30"/>
  <c r="H4" i="30"/>
  <c r="G4" i="30"/>
  <c r="F4" i="30"/>
  <c r="E4" i="30"/>
  <c r="AO2" i="30"/>
  <c r="AN2" i="30"/>
  <c r="AM2" i="30"/>
  <c r="AL2" i="30"/>
  <c r="AK2" i="30"/>
  <c r="AJ2" i="30"/>
  <c r="AI2" i="30"/>
  <c r="AH2" i="30"/>
  <c r="AG2" i="30"/>
  <c r="AF2" i="30"/>
  <c r="AE2" i="30"/>
  <c r="AD2" i="30"/>
  <c r="AC2" i="30"/>
  <c r="AB2" i="30"/>
  <c r="AA2" i="30"/>
  <c r="Z2" i="30"/>
  <c r="T2" i="30"/>
  <c r="S2" i="30"/>
  <c r="R2" i="30"/>
  <c r="Q2" i="30"/>
  <c r="P2" i="30"/>
  <c r="O2" i="30"/>
  <c r="N2" i="30"/>
  <c r="M2" i="30"/>
  <c r="L2" i="30"/>
  <c r="K2" i="30"/>
  <c r="J2" i="30"/>
  <c r="I2" i="30"/>
  <c r="H2" i="30"/>
  <c r="G2" i="30"/>
  <c r="F2" i="30"/>
  <c r="E2" i="30"/>
  <c r="C67" i="29"/>
  <c r="C66" i="29"/>
  <c r="C65" i="29"/>
  <c r="C64" i="29"/>
  <c r="C63" i="29"/>
  <c r="C62" i="29"/>
  <c r="C61" i="29"/>
  <c r="C60" i="29"/>
  <c r="C59" i="29"/>
  <c r="C58" i="29"/>
  <c r="C57" i="29"/>
  <c r="C56" i="29"/>
  <c r="C55" i="29"/>
  <c r="C54" i="29"/>
  <c r="C53" i="29"/>
  <c r="C52" i="29"/>
  <c r="T9" i="29"/>
  <c r="S9" i="29"/>
  <c r="R9" i="29"/>
  <c r="Q9" i="29"/>
  <c r="P9" i="29"/>
  <c r="O9" i="29"/>
  <c r="N9" i="29"/>
  <c r="M9" i="29"/>
  <c r="L9" i="29"/>
  <c r="K9" i="29"/>
  <c r="J9" i="29"/>
  <c r="I9" i="29"/>
  <c r="H9" i="29"/>
  <c r="G9" i="29"/>
  <c r="F9" i="29"/>
  <c r="E9" i="29"/>
  <c r="T8" i="29"/>
  <c r="S8" i="29"/>
  <c r="R8" i="29"/>
  <c r="Q8" i="29"/>
  <c r="P8" i="29"/>
  <c r="O8" i="29"/>
  <c r="N8" i="29"/>
  <c r="M8" i="29"/>
  <c r="L8" i="29"/>
  <c r="K8" i="29"/>
  <c r="J8" i="29"/>
  <c r="I8" i="29"/>
  <c r="H8" i="29"/>
  <c r="G8" i="29"/>
  <c r="F8" i="29"/>
  <c r="E8" i="29"/>
  <c r="AO7" i="29"/>
  <c r="AN7" i="29"/>
  <c r="AM7" i="29"/>
  <c r="AL7" i="29"/>
  <c r="AK7" i="29"/>
  <c r="AJ7" i="29"/>
  <c r="AI7" i="29"/>
  <c r="AH7" i="29"/>
  <c r="AG7" i="29"/>
  <c r="AF7" i="29"/>
  <c r="AE7" i="29"/>
  <c r="AD7" i="29"/>
  <c r="AC7" i="29"/>
  <c r="AB7" i="29"/>
  <c r="AA7" i="29"/>
  <c r="Z7" i="29"/>
  <c r="AO6" i="29"/>
  <c r="AN6" i="29"/>
  <c r="AM6" i="29"/>
  <c r="AL6" i="29"/>
  <c r="AK6" i="29"/>
  <c r="AJ6" i="29"/>
  <c r="AI6" i="29"/>
  <c r="AH6" i="29"/>
  <c r="AG6" i="29"/>
  <c r="AF6" i="29"/>
  <c r="AE6" i="29"/>
  <c r="AD6" i="29"/>
  <c r="AC6" i="29"/>
  <c r="AB6" i="29"/>
  <c r="AA6" i="29"/>
  <c r="Z6" i="29"/>
  <c r="T6" i="29"/>
  <c r="S6" i="29"/>
  <c r="R6" i="29"/>
  <c r="Q6" i="29"/>
  <c r="P6" i="29"/>
  <c r="O6" i="29"/>
  <c r="N6" i="29"/>
  <c r="M6" i="29"/>
  <c r="L6" i="29"/>
  <c r="K6" i="29"/>
  <c r="J6" i="29"/>
  <c r="I6" i="29"/>
  <c r="H6" i="29"/>
  <c r="G6" i="29"/>
  <c r="F6" i="29"/>
  <c r="E6" i="29"/>
  <c r="AO5" i="29"/>
  <c r="AN5" i="29"/>
  <c r="AM5" i="29"/>
  <c r="AL5" i="29"/>
  <c r="AK5" i="29"/>
  <c r="AJ5" i="29"/>
  <c r="AI5" i="29"/>
  <c r="AH5" i="29"/>
  <c r="AG5" i="29"/>
  <c r="AF5" i="29"/>
  <c r="AE5" i="29"/>
  <c r="AD5" i="29"/>
  <c r="AC5" i="29"/>
  <c r="AB5" i="29"/>
  <c r="AA5" i="29"/>
  <c r="Z5" i="29"/>
  <c r="T5" i="29"/>
  <c r="T7" i="29" s="1"/>
  <c r="S5" i="29"/>
  <c r="S7" i="29" s="1"/>
  <c r="R5" i="29"/>
  <c r="R7" i="29" s="1"/>
  <c r="Q5" i="29"/>
  <c r="Q7" i="29" s="1"/>
  <c r="P5" i="29"/>
  <c r="P7" i="29" s="1"/>
  <c r="O5" i="29"/>
  <c r="O7" i="29" s="1"/>
  <c r="N5" i="29"/>
  <c r="N7" i="29" s="1"/>
  <c r="M5" i="29"/>
  <c r="M7" i="29" s="1"/>
  <c r="L5" i="29"/>
  <c r="L7" i="29" s="1"/>
  <c r="K5" i="29"/>
  <c r="K7" i="29" s="1"/>
  <c r="J5" i="29"/>
  <c r="J7" i="29" s="1"/>
  <c r="I5" i="29"/>
  <c r="I7" i="29" s="1"/>
  <c r="H5" i="29"/>
  <c r="H7" i="29" s="1"/>
  <c r="G5" i="29"/>
  <c r="G7" i="29" s="1"/>
  <c r="F5" i="29"/>
  <c r="F7" i="29" s="1"/>
  <c r="E5" i="29"/>
  <c r="E7" i="29" s="1"/>
  <c r="T4" i="29"/>
  <c r="S4" i="29"/>
  <c r="R4" i="29"/>
  <c r="Q4" i="29"/>
  <c r="P4" i="29"/>
  <c r="O4" i="29"/>
  <c r="N4" i="29"/>
  <c r="M4" i="29"/>
  <c r="L4" i="29"/>
  <c r="K4" i="29"/>
  <c r="J4" i="29"/>
  <c r="I4" i="29"/>
  <c r="H4" i="29"/>
  <c r="G4" i="29"/>
  <c r="F4" i="29"/>
  <c r="E4" i="29"/>
  <c r="AO2" i="29"/>
  <c r="AN2" i="29"/>
  <c r="AM2" i="29"/>
  <c r="AL2" i="29"/>
  <c r="AK2" i="29"/>
  <c r="AJ2" i="29"/>
  <c r="AI2" i="29"/>
  <c r="AH2" i="29"/>
  <c r="AG2" i="29"/>
  <c r="AF2" i="29"/>
  <c r="AE2" i="29"/>
  <c r="AD2" i="29"/>
  <c r="AC2" i="29"/>
  <c r="AB2" i="29"/>
  <c r="AA2" i="29"/>
  <c r="Z2" i="29"/>
  <c r="T2" i="29"/>
  <c r="S2" i="29"/>
  <c r="R2" i="29"/>
  <c r="Q2" i="29"/>
  <c r="P2" i="29"/>
  <c r="O2" i="29"/>
  <c r="N2" i="29"/>
  <c r="M2" i="29"/>
  <c r="L2" i="29"/>
  <c r="K2" i="29"/>
  <c r="J2" i="29"/>
  <c r="I2" i="29"/>
  <c r="H2" i="29"/>
  <c r="G2" i="29"/>
  <c r="F2" i="29"/>
  <c r="E2" i="29"/>
  <c r="C67" i="28"/>
  <c r="C66" i="28"/>
  <c r="C65" i="28"/>
  <c r="C64" i="28"/>
  <c r="C63" i="28"/>
  <c r="C62" i="28"/>
  <c r="C61" i="28"/>
  <c r="C60" i="28"/>
  <c r="C59" i="28"/>
  <c r="C58" i="28"/>
  <c r="C57" i="28"/>
  <c r="C56" i="28"/>
  <c r="C55" i="28"/>
  <c r="C54" i="28"/>
  <c r="C53" i="28"/>
  <c r="C52" i="28"/>
  <c r="T9" i="28"/>
  <c r="S9" i="28"/>
  <c r="R9" i="28"/>
  <c r="Q9" i="28"/>
  <c r="P9" i="28"/>
  <c r="O9" i="28"/>
  <c r="N9" i="28"/>
  <c r="M9" i="28"/>
  <c r="L9" i="28"/>
  <c r="K9" i="28"/>
  <c r="J9" i="28"/>
  <c r="I9" i="28"/>
  <c r="H9" i="28"/>
  <c r="G9" i="28"/>
  <c r="F9" i="28"/>
  <c r="E9" i="28"/>
  <c r="T8" i="28"/>
  <c r="S8" i="28"/>
  <c r="R8" i="28"/>
  <c r="Q8" i="28"/>
  <c r="P8" i="28"/>
  <c r="O8" i="28"/>
  <c r="N8" i="28"/>
  <c r="M8" i="28"/>
  <c r="L8" i="28"/>
  <c r="K8" i="28"/>
  <c r="J8" i="28"/>
  <c r="I8" i="28"/>
  <c r="H8" i="28"/>
  <c r="G8" i="28"/>
  <c r="F8" i="28"/>
  <c r="E8" i="28"/>
  <c r="AO7" i="28"/>
  <c r="AN7" i="28"/>
  <c r="AM7" i="28"/>
  <c r="AL7" i="28"/>
  <c r="AK7" i="28"/>
  <c r="AJ7" i="28"/>
  <c r="AI7" i="28"/>
  <c r="AH7" i="28"/>
  <c r="AG7" i="28"/>
  <c r="AF7" i="28"/>
  <c r="AE7" i="28"/>
  <c r="AD7" i="28"/>
  <c r="AC7" i="28"/>
  <c r="AB7" i="28"/>
  <c r="AA7" i="28"/>
  <c r="Z7" i="28"/>
  <c r="AO6" i="28"/>
  <c r="AN6" i="28"/>
  <c r="AM6" i="28"/>
  <c r="AL6" i="28"/>
  <c r="AK6" i="28"/>
  <c r="AJ6" i="28"/>
  <c r="AI6" i="28"/>
  <c r="AH6" i="28"/>
  <c r="AG6" i="28"/>
  <c r="AF6" i="28"/>
  <c r="AE6" i="28"/>
  <c r="AD6" i="28"/>
  <c r="AC6" i="28"/>
  <c r="AB6" i="28"/>
  <c r="AA6" i="28"/>
  <c r="Z6" i="28"/>
  <c r="T6" i="28"/>
  <c r="S6" i="28"/>
  <c r="R6" i="28"/>
  <c r="Q6" i="28"/>
  <c r="P6" i="28"/>
  <c r="O6" i="28"/>
  <c r="N6" i="28"/>
  <c r="M6" i="28"/>
  <c r="L6" i="28"/>
  <c r="K6" i="28"/>
  <c r="J6" i="28"/>
  <c r="I6" i="28"/>
  <c r="H6" i="28"/>
  <c r="G6" i="28"/>
  <c r="F6" i="28"/>
  <c r="E6" i="28"/>
  <c r="AO5" i="28"/>
  <c r="AN5" i="28"/>
  <c r="AM5" i="28"/>
  <c r="AL5" i="28"/>
  <c r="AK5" i="28"/>
  <c r="AJ5" i="28"/>
  <c r="AI5" i="28"/>
  <c r="AH5" i="28"/>
  <c r="AG5" i="28"/>
  <c r="AF5" i="28"/>
  <c r="AE5" i="28"/>
  <c r="AD5" i="28"/>
  <c r="AC5" i="28"/>
  <c r="AB5" i="28"/>
  <c r="AA5" i="28"/>
  <c r="Z5" i="28"/>
  <c r="T5" i="28"/>
  <c r="T7" i="28" s="1"/>
  <c r="S5" i="28"/>
  <c r="S7" i="28" s="1"/>
  <c r="R5" i="28"/>
  <c r="R7" i="28" s="1"/>
  <c r="Q5" i="28"/>
  <c r="Q7" i="28" s="1"/>
  <c r="P5" i="28"/>
  <c r="P7" i="28" s="1"/>
  <c r="O5" i="28"/>
  <c r="O7" i="28" s="1"/>
  <c r="N5" i="28"/>
  <c r="N7" i="28" s="1"/>
  <c r="M5" i="28"/>
  <c r="M7" i="28" s="1"/>
  <c r="L5" i="28"/>
  <c r="L7" i="28" s="1"/>
  <c r="K5" i="28"/>
  <c r="K7" i="28" s="1"/>
  <c r="J5" i="28"/>
  <c r="J7" i="28" s="1"/>
  <c r="I5" i="28"/>
  <c r="I7" i="28" s="1"/>
  <c r="H5" i="28"/>
  <c r="H7" i="28" s="1"/>
  <c r="G5" i="28"/>
  <c r="G7" i="28" s="1"/>
  <c r="F5" i="28"/>
  <c r="F7" i="28" s="1"/>
  <c r="E5" i="28"/>
  <c r="E7" i="28" s="1"/>
  <c r="T4" i="28"/>
  <c r="S4" i="28"/>
  <c r="R4" i="28"/>
  <c r="Q4" i="28"/>
  <c r="P4" i="28"/>
  <c r="O4" i="28"/>
  <c r="N4" i="28"/>
  <c r="M4" i="28"/>
  <c r="L4" i="28"/>
  <c r="K4" i="28"/>
  <c r="J4" i="28"/>
  <c r="I4" i="28"/>
  <c r="H4" i="28"/>
  <c r="G4" i="28"/>
  <c r="F4" i="28"/>
  <c r="E4" i="28"/>
  <c r="AO2" i="28"/>
  <c r="AN2" i="28"/>
  <c r="AM2" i="28"/>
  <c r="AL2" i="28"/>
  <c r="AK2" i="28"/>
  <c r="AJ2" i="28"/>
  <c r="AI2" i="28"/>
  <c r="AH2" i="28"/>
  <c r="AG2" i="28"/>
  <c r="AF2" i="28"/>
  <c r="AE2" i="28"/>
  <c r="AD2" i="28"/>
  <c r="AC2" i="28"/>
  <c r="AB2" i="28"/>
  <c r="AA2" i="28"/>
  <c r="Z2" i="28"/>
  <c r="T2" i="28"/>
  <c r="S2" i="28"/>
  <c r="R2" i="28"/>
  <c r="Q2" i="28"/>
  <c r="P2" i="28"/>
  <c r="O2" i="28"/>
  <c r="N2" i="28"/>
  <c r="M2" i="28"/>
  <c r="L2" i="28"/>
  <c r="K2" i="28"/>
  <c r="J2" i="28"/>
  <c r="I2" i="28"/>
  <c r="H2" i="28"/>
  <c r="G2" i="28"/>
  <c r="F2" i="28"/>
  <c r="E2" i="28"/>
  <c r="C67" i="27"/>
  <c r="C66" i="27"/>
  <c r="C65" i="27"/>
  <c r="C64" i="27"/>
  <c r="C63" i="27"/>
  <c r="C62" i="27"/>
  <c r="C61" i="27"/>
  <c r="C60" i="27"/>
  <c r="C59" i="27"/>
  <c r="C58" i="27"/>
  <c r="C57" i="27"/>
  <c r="C56" i="27"/>
  <c r="C55" i="27"/>
  <c r="C54" i="27"/>
  <c r="C53" i="27"/>
  <c r="C52" i="27"/>
  <c r="T9" i="27"/>
  <c r="S9" i="27"/>
  <c r="R9" i="27"/>
  <c r="Q9" i="27"/>
  <c r="P9" i="27"/>
  <c r="O9" i="27"/>
  <c r="N9" i="27"/>
  <c r="M9" i="27"/>
  <c r="L9" i="27"/>
  <c r="K9" i="27"/>
  <c r="J9" i="27"/>
  <c r="I9" i="27"/>
  <c r="H9" i="27"/>
  <c r="G9" i="27"/>
  <c r="F9" i="27"/>
  <c r="E9" i="27"/>
  <c r="T8" i="27"/>
  <c r="S8" i="27"/>
  <c r="R8" i="27"/>
  <c r="Q8" i="27"/>
  <c r="P8" i="27"/>
  <c r="O8" i="27"/>
  <c r="N8" i="27"/>
  <c r="M8" i="27"/>
  <c r="L8" i="27"/>
  <c r="K8" i="27"/>
  <c r="J8" i="27"/>
  <c r="I8" i="27"/>
  <c r="H8" i="27"/>
  <c r="G8" i="27"/>
  <c r="F8" i="27"/>
  <c r="E8" i="27"/>
  <c r="AO7" i="27"/>
  <c r="AN7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AO6" i="27"/>
  <c r="AN6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T6" i="27"/>
  <c r="S6" i="27"/>
  <c r="R6" i="27"/>
  <c r="Q6" i="27"/>
  <c r="P6" i="27"/>
  <c r="O6" i="27"/>
  <c r="N6" i="27"/>
  <c r="M6" i="27"/>
  <c r="L6" i="27"/>
  <c r="K6" i="27"/>
  <c r="J6" i="27"/>
  <c r="I6" i="27"/>
  <c r="H6" i="27"/>
  <c r="G6" i="27"/>
  <c r="F6" i="27"/>
  <c r="E6" i="27"/>
  <c r="AO5" i="27"/>
  <c r="AN5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T5" i="27"/>
  <c r="T7" i="27" s="1"/>
  <c r="S5" i="27"/>
  <c r="S7" i="27" s="1"/>
  <c r="R5" i="27"/>
  <c r="R7" i="27" s="1"/>
  <c r="Q5" i="27"/>
  <c r="Q7" i="27" s="1"/>
  <c r="P5" i="27"/>
  <c r="P7" i="27" s="1"/>
  <c r="O5" i="27"/>
  <c r="O7" i="27" s="1"/>
  <c r="N5" i="27"/>
  <c r="N7" i="27" s="1"/>
  <c r="M5" i="27"/>
  <c r="M7" i="27" s="1"/>
  <c r="L5" i="27"/>
  <c r="L7" i="27" s="1"/>
  <c r="K5" i="27"/>
  <c r="K7" i="27" s="1"/>
  <c r="J5" i="27"/>
  <c r="J7" i="27" s="1"/>
  <c r="I5" i="27"/>
  <c r="I7" i="27" s="1"/>
  <c r="H5" i="27"/>
  <c r="H7" i="27" s="1"/>
  <c r="G5" i="27"/>
  <c r="G7" i="27" s="1"/>
  <c r="F5" i="27"/>
  <c r="F7" i="27" s="1"/>
  <c r="E5" i="27"/>
  <c r="E7" i="27" s="1"/>
  <c r="T4" i="27"/>
  <c r="S4" i="27"/>
  <c r="R4" i="27"/>
  <c r="Q4" i="27"/>
  <c r="P4" i="27"/>
  <c r="O4" i="27"/>
  <c r="N4" i="27"/>
  <c r="M4" i="27"/>
  <c r="L4" i="27"/>
  <c r="K4" i="27"/>
  <c r="J4" i="27"/>
  <c r="I4" i="27"/>
  <c r="H4" i="27"/>
  <c r="G4" i="27"/>
  <c r="F4" i="27"/>
  <c r="E4" i="27"/>
  <c r="AO2" i="27"/>
  <c r="AN2" i="27"/>
  <c r="AM2" i="27"/>
  <c r="AL2" i="27"/>
  <c r="AK2" i="27"/>
  <c r="AJ2" i="27"/>
  <c r="AI2" i="27"/>
  <c r="AH2" i="27"/>
  <c r="AG2" i="27"/>
  <c r="AF2" i="27"/>
  <c r="AE2" i="27"/>
  <c r="AD2" i="27"/>
  <c r="AC2" i="27"/>
  <c r="AB2" i="27"/>
  <c r="AA2" i="27"/>
  <c r="Z2" i="27"/>
  <c r="T2" i="27"/>
  <c r="S2" i="27"/>
  <c r="R2" i="27"/>
  <c r="Q2" i="27"/>
  <c r="P2" i="27"/>
  <c r="O2" i="27"/>
  <c r="N2" i="27"/>
  <c r="M2" i="27"/>
  <c r="L2" i="27"/>
  <c r="K2" i="27"/>
  <c r="J2" i="27"/>
  <c r="I2" i="27"/>
  <c r="H2" i="27"/>
  <c r="G2" i="27"/>
  <c r="F2" i="27"/>
  <c r="E2" i="27"/>
  <c r="C67" i="26"/>
  <c r="C66" i="26"/>
  <c r="C65" i="26"/>
  <c r="C64" i="26"/>
  <c r="C63" i="26"/>
  <c r="C62" i="26"/>
  <c r="C61" i="26"/>
  <c r="C60" i="26"/>
  <c r="C59" i="26"/>
  <c r="C58" i="26"/>
  <c r="C57" i="26"/>
  <c r="C56" i="26"/>
  <c r="C55" i="26"/>
  <c r="C54" i="26"/>
  <c r="C53" i="26"/>
  <c r="C52" i="26"/>
  <c r="T9" i="26"/>
  <c r="S9" i="26"/>
  <c r="R9" i="26"/>
  <c r="Q9" i="26"/>
  <c r="P9" i="26"/>
  <c r="O9" i="26"/>
  <c r="N9" i="26"/>
  <c r="M9" i="26"/>
  <c r="L9" i="26"/>
  <c r="K9" i="26"/>
  <c r="J9" i="26"/>
  <c r="I9" i="26"/>
  <c r="H9" i="26"/>
  <c r="G9" i="26"/>
  <c r="F9" i="26"/>
  <c r="E9" i="26"/>
  <c r="T8" i="26"/>
  <c r="S8" i="26"/>
  <c r="R8" i="26"/>
  <c r="Q8" i="26"/>
  <c r="P8" i="26"/>
  <c r="O8" i="26"/>
  <c r="N8" i="26"/>
  <c r="M8" i="26"/>
  <c r="L8" i="26"/>
  <c r="K8" i="26"/>
  <c r="J8" i="26"/>
  <c r="I8" i="26"/>
  <c r="H8" i="26"/>
  <c r="G8" i="26"/>
  <c r="F8" i="26"/>
  <c r="E8" i="26"/>
  <c r="AO7" i="26"/>
  <c r="AN7" i="26"/>
  <c r="AM7" i="26"/>
  <c r="AL7" i="26"/>
  <c r="AK7" i="26"/>
  <c r="AJ7" i="26"/>
  <c r="AI7" i="26"/>
  <c r="AH7" i="26"/>
  <c r="AG7" i="26"/>
  <c r="AF7" i="26"/>
  <c r="AE7" i="26"/>
  <c r="AD7" i="26"/>
  <c r="AC7" i="26"/>
  <c r="AB7" i="26"/>
  <c r="AA7" i="26"/>
  <c r="Z7" i="26"/>
  <c r="AO6" i="26"/>
  <c r="AN6" i="26"/>
  <c r="AM6" i="26"/>
  <c r="AL6" i="26"/>
  <c r="AK6" i="26"/>
  <c r="AJ6" i="26"/>
  <c r="AI6" i="26"/>
  <c r="AH6" i="26"/>
  <c r="AG6" i="26"/>
  <c r="AF6" i="26"/>
  <c r="AE6" i="26"/>
  <c r="AD6" i="26"/>
  <c r="AC6" i="26"/>
  <c r="AB6" i="26"/>
  <c r="AA6" i="26"/>
  <c r="Z6" i="26"/>
  <c r="T6" i="26"/>
  <c r="S6" i="26"/>
  <c r="R6" i="26"/>
  <c r="Q6" i="26"/>
  <c r="P6" i="26"/>
  <c r="O6" i="26"/>
  <c r="N6" i="26"/>
  <c r="M6" i="26"/>
  <c r="L6" i="26"/>
  <c r="K6" i="26"/>
  <c r="J6" i="26"/>
  <c r="I6" i="26"/>
  <c r="H6" i="26"/>
  <c r="G6" i="26"/>
  <c r="F6" i="26"/>
  <c r="E6" i="26"/>
  <c r="AO5" i="26"/>
  <c r="AN5" i="26"/>
  <c r="AM5" i="26"/>
  <c r="AL5" i="26"/>
  <c r="AK5" i="26"/>
  <c r="AJ5" i="26"/>
  <c r="AI5" i="26"/>
  <c r="AH5" i="26"/>
  <c r="AG5" i="26"/>
  <c r="AF5" i="26"/>
  <c r="AE5" i="26"/>
  <c r="AD5" i="26"/>
  <c r="AC5" i="26"/>
  <c r="AB5" i="26"/>
  <c r="AA5" i="26"/>
  <c r="Z5" i="26"/>
  <c r="T5" i="26"/>
  <c r="T7" i="26" s="1"/>
  <c r="S5" i="26"/>
  <c r="S7" i="26" s="1"/>
  <c r="R5" i="26"/>
  <c r="R7" i="26" s="1"/>
  <c r="Q5" i="26"/>
  <c r="Q7" i="26" s="1"/>
  <c r="P5" i="26"/>
  <c r="P7" i="26" s="1"/>
  <c r="O5" i="26"/>
  <c r="O7" i="26" s="1"/>
  <c r="N5" i="26"/>
  <c r="N7" i="26" s="1"/>
  <c r="M5" i="26"/>
  <c r="M7" i="26" s="1"/>
  <c r="L5" i="26"/>
  <c r="L7" i="26" s="1"/>
  <c r="K5" i="26"/>
  <c r="K7" i="26" s="1"/>
  <c r="J5" i="26"/>
  <c r="J7" i="26" s="1"/>
  <c r="I5" i="26"/>
  <c r="I7" i="26" s="1"/>
  <c r="H5" i="26"/>
  <c r="H7" i="26" s="1"/>
  <c r="G5" i="26"/>
  <c r="G7" i="26" s="1"/>
  <c r="F5" i="26"/>
  <c r="F7" i="26" s="1"/>
  <c r="E5" i="26"/>
  <c r="E7" i="26" s="1"/>
  <c r="T4" i="26"/>
  <c r="S4" i="26"/>
  <c r="R4" i="26"/>
  <c r="Q4" i="26"/>
  <c r="P4" i="26"/>
  <c r="O4" i="26"/>
  <c r="N4" i="26"/>
  <c r="M4" i="26"/>
  <c r="L4" i="26"/>
  <c r="K4" i="26"/>
  <c r="J4" i="26"/>
  <c r="I4" i="26"/>
  <c r="H4" i="26"/>
  <c r="G4" i="26"/>
  <c r="F4" i="26"/>
  <c r="E4" i="26"/>
  <c r="AO2" i="26"/>
  <c r="AN2" i="26"/>
  <c r="AM2" i="26"/>
  <c r="AL2" i="26"/>
  <c r="AK2" i="26"/>
  <c r="AJ2" i="26"/>
  <c r="AI2" i="26"/>
  <c r="AH2" i="26"/>
  <c r="AG2" i="26"/>
  <c r="AF2" i="26"/>
  <c r="AE2" i="26"/>
  <c r="AD2" i="26"/>
  <c r="AC2" i="26"/>
  <c r="AB2" i="26"/>
  <c r="AA2" i="26"/>
  <c r="Z2" i="26"/>
  <c r="T2" i="26"/>
  <c r="S2" i="26"/>
  <c r="R2" i="26"/>
  <c r="Q2" i="26"/>
  <c r="P2" i="26"/>
  <c r="O2" i="26"/>
  <c r="N2" i="26"/>
  <c r="M2" i="26"/>
  <c r="L2" i="26"/>
  <c r="K2" i="26"/>
  <c r="J2" i="26"/>
  <c r="I2" i="26"/>
  <c r="H2" i="26"/>
  <c r="G2" i="26"/>
  <c r="F2" i="26"/>
  <c r="E2" i="26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T9" i="25"/>
  <c r="S9" i="25"/>
  <c r="R9" i="25"/>
  <c r="Q9" i="25"/>
  <c r="P9" i="25"/>
  <c r="O9" i="25"/>
  <c r="N9" i="25"/>
  <c r="M9" i="25"/>
  <c r="L9" i="25"/>
  <c r="K9" i="25"/>
  <c r="J9" i="25"/>
  <c r="I9" i="25"/>
  <c r="H9" i="25"/>
  <c r="G9" i="25"/>
  <c r="F9" i="25"/>
  <c r="E9" i="25"/>
  <c r="T8" i="25"/>
  <c r="S8" i="25"/>
  <c r="R8" i="25"/>
  <c r="Q8" i="25"/>
  <c r="P8" i="25"/>
  <c r="O8" i="25"/>
  <c r="N8" i="25"/>
  <c r="M8" i="25"/>
  <c r="L8" i="25"/>
  <c r="K8" i="25"/>
  <c r="J8" i="25"/>
  <c r="I8" i="25"/>
  <c r="H8" i="25"/>
  <c r="G8" i="25"/>
  <c r="F8" i="25"/>
  <c r="E8" i="25"/>
  <c r="AO7" i="25"/>
  <c r="AN7" i="25"/>
  <c r="AM7" i="25"/>
  <c r="AL7" i="25"/>
  <c r="AK7" i="25"/>
  <c r="AJ7" i="25"/>
  <c r="AI7" i="25"/>
  <c r="AH7" i="25"/>
  <c r="AG7" i="25"/>
  <c r="AF7" i="25"/>
  <c r="AE7" i="25"/>
  <c r="AD7" i="25"/>
  <c r="AC7" i="25"/>
  <c r="AB7" i="25"/>
  <c r="AA7" i="25"/>
  <c r="Z7" i="25"/>
  <c r="AO6" i="25"/>
  <c r="AN6" i="25"/>
  <c r="AM6" i="25"/>
  <c r="AL6" i="25"/>
  <c r="AK6" i="25"/>
  <c r="AJ6" i="25"/>
  <c r="AI6" i="25"/>
  <c r="AH6" i="25"/>
  <c r="AG6" i="25"/>
  <c r="AF6" i="25"/>
  <c r="AE6" i="25"/>
  <c r="AD6" i="25"/>
  <c r="AC6" i="25"/>
  <c r="AB6" i="25"/>
  <c r="AA6" i="25"/>
  <c r="Z6" i="25"/>
  <c r="T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AO5" i="25"/>
  <c r="AN5" i="25"/>
  <c r="AM5" i="25"/>
  <c r="AL5" i="25"/>
  <c r="AK5" i="25"/>
  <c r="AJ5" i="25"/>
  <c r="AI5" i="25"/>
  <c r="AH5" i="25"/>
  <c r="AG5" i="25"/>
  <c r="AF5" i="25"/>
  <c r="AE5" i="25"/>
  <c r="AD5" i="25"/>
  <c r="AC5" i="25"/>
  <c r="AB5" i="25"/>
  <c r="AA5" i="25"/>
  <c r="Z5" i="25"/>
  <c r="T5" i="25"/>
  <c r="T7" i="25" s="1"/>
  <c r="S5" i="25"/>
  <c r="S7" i="25" s="1"/>
  <c r="R5" i="25"/>
  <c r="R7" i="25" s="1"/>
  <c r="Q5" i="25"/>
  <c r="Q7" i="25" s="1"/>
  <c r="P5" i="25"/>
  <c r="P7" i="25" s="1"/>
  <c r="O5" i="25"/>
  <c r="O7" i="25" s="1"/>
  <c r="N5" i="25"/>
  <c r="N7" i="25" s="1"/>
  <c r="M5" i="25"/>
  <c r="M7" i="25" s="1"/>
  <c r="L5" i="25"/>
  <c r="L7" i="25" s="1"/>
  <c r="K5" i="25"/>
  <c r="K7" i="25" s="1"/>
  <c r="J5" i="25"/>
  <c r="J7" i="25" s="1"/>
  <c r="I5" i="25"/>
  <c r="I7" i="25" s="1"/>
  <c r="H5" i="25"/>
  <c r="H7" i="25" s="1"/>
  <c r="G5" i="25"/>
  <c r="G7" i="25" s="1"/>
  <c r="F5" i="25"/>
  <c r="F7" i="25" s="1"/>
  <c r="E5" i="25"/>
  <c r="E7" i="25" s="1"/>
  <c r="T4" i="25"/>
  <c r="S4" i="25"/>
  <c r="R4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AO2" i="25"/>
  <c r="AN2" i="25"/>
  <c r="AM2" i="25"/>
  <c r="AL2" i="25"/>
  <c r="AK2" i="25"/>
  <c r="AJ2" i="25"/>
  <c r="AI2" i="25"/>
  <c r="AH2" i="25"/>
  <c r="AG2" i="25"/>
  <c r="AF2" i="25"/>
  <c r="AE2" i="25"/>
  <c r="AD2" i="25"/>
  <c r="AC2" i="25"/>
  <c r="AB2" i="25"/>
  <c r="AA2" i="25"/>
  <c r="Z2" i="25"/>
  <c r="T2" i="25"/>
  <c r="S2" i="25"/>
  <c r="R2" i="25"/>
  <c r="Q2" i="25"/>
  <c r="P2" i="25"/>
  <c r="O2" i="25"/>
  <c r="N2" i="25"/>
  <c r="M2" i="25"/>
  <c r="L2" i="25"/>
  <c r="K2" i="25"/>
  <c r="J2" i="25"/>
  <c r="I2" i="25"/>
  <c r="H2" i="25"/>
  <c r="G2" i="25"/>
  <c r="F2" i="25"/>
  <c r="E2" i="25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G9" i="24"/>
  <c r="F9" i="24"/>
  <c r="E9" i="24"/>
  <c r="T8" i="24"/>
  <c r="S8" i="24"/>
  <c r="R8" i="24"/>
  <c r="Q8" i="24"/>
  <c r="P8" i="24"/>
  <c r="O8" i="24"/>
  <c r="N8" i="24"/>
  <c r="M8" i="24"/>
  <c r="L8" i="24"/>
  <c r="K8" i="24"/>
  <c r="J8" i="24"/>
  <c r="I8" i="24"/>
  <c r="H8" i="24"/>
  <c r="G8" i="24"/>
  <c r="F8" i="24"/>
  <c r="E8" i="24"/>
  <c r="AO7" i="24"/>
  <c r="AN7" i="24"/>
  <c r="AM7" i="24"/>
  <c r="AL7" i="24"/>
  <c r="AK7" i="24"/>
  <c r="AJ7" i="24"/>
  <c r="AI7" i="24"/>
  <c r="AH7" i="24"/>
  <c r="AG7" i="24"/>
  <c r="AF7" i="24"/>
  <c r="AE7" i="24"/>
  <c r="AD7" i="24"/>
  <c r="AC7" i="24"/>
  <c r="AB7" i="24"/>
  <c r="AA7" i="24"/>
  <c r="Z7" i="24"/>
  <c r="AO6" i="24"/>
  <c r="AN6" i="24"/>
  <c r="AM6" i="24"/>
  <c r="AL6" i="24"/>
  <c r="AK6" i="24"/>
  <c r="AJ6" i="24"/>
  <c r="AI6" i="24"/>
  <c r="AH6" i="24"/>
  <c r="AG6" i="24"/>
  <c r="AF6" i="24"/>
  <c r="AE6" i="24"/>
  <c r="AD6" i="24"/>
  <c r="AC6" i="24"/>
  <c r="AB6" i="24"/>
  <c r="AA6" i="24"/>
  <c r="Z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G6" i="24"/>
  <c r="F6" i="24"/>
  <c r="E6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T5" i="24"/>
  <c r="T7" i="24" s="1"/>
  <c r="S5" i="24"/>
  <c r="S7" i="24" s="1"/>
  <c r="R5" i="24"/>
  <c r="R7" i="24" s="1"/>
  <c r="Q5" i="24"/>
  <c r="Q7" i="24" s="1"/>
  <c r="P5" i="24"/>
  <c r="P7" i="24" s="1"/>
  <c r="O5" i="24"/>
  <c r="O7" i="24" s="1"/>
  <c r="N5" i="24"/>
  <c r="N7" i="24" s="1"/>
  <c r="M5" i="24"/>
  <c r="M7" i="24" s="1"/>
  <c r="L5" i="24"/>
  <c r="L7" i="24" s="1"/>
  <c r="K5" i="24"/>
  <c r="K7" i="24" s="1"/>
  <c r="J5" i="24"/>
  <c r="J7" i="24" s="1"/>
  <c r="I5" i="24"/>
  <c r="I7" i="24" s="1"/>
  <c r="H5" i="24"/>
  <c r="H7" i="24" s="1"/>
  <c r="G5" i="24"/>
  <c r="G7" i="24" s="1"/>
  <c r="F5" i="24"/>
  <c r="F7" i="24" s="1"/>
  <c r="E5" i="24"/>
  <c r="E7" i="24" s="1"/>
  <c r="T4" i="24"/>
  <c r="S4" i="24"/>
  <c r="R4" i="24"/>
  <c r="Q4" i="24"/>
  <c r="P4" i="24"/>
  <c r="O4" i="24"/>
  <c r="N4" i="24"/>
  <c r="M4" i="24"/>
  <c r="L4" i="24"/>
  <c r="K4" i="24"/>
  <c r="J4" i="24"/>
  <c r="I4" i="24"/>
  <c r="H4" i="24"/>
  <c r="G4" i="24"/>
  <c r="F4" i="24"/>
  <c r="E4" i="24"/>
  <c r="AO2" i="24"/>
  <c r="AN2" i="24"/>
  <c r="AM2" i="24"/>
  <c r="AL2" i="24"/>
  <c r="AK2" i="24"/>
  <c r="AJ2" i="24"/>
  <c r="AI2" i="24"/>
  <c r="AH2" i="24"/>
  <c r="AG2" i="24"/>
  <c r="AF2" i="24"/>
  <c r="AE2" i="24"/>
  <c r="AD2" i="24"/>
  <c r="AC2" i="24"/>
  <c r="AB2" i="24"/>
  <c r="AA2" i="24"/>
  <c r="Z2" i="24"/>
  <c r="T2" i="24"/>
  <c r="S2" i="24"/>
  <c r="R2" i="24"/>
  <c r="Q2" i="24"/>
  <c r="P2" i="24"/>
  <c r="O2" i="24"/>
  <c r="N2" i="24"/>
  <c r="M2" i="24"/>
  <c r="L2" i="24"/>
  <c r="K2" i="24"/>
  <c r="J2" i="24"/>
  <c r="I2" i="24"/>
  <c r="H2" i="24"/>
  <c r="G2" i="24"/>
  <c r="F2" i="24"/>
  <c r="E2" i="24"/>
  <c r="T9" i="23" l="1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E9" i="22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E8" i="22"/>
  <c r="T9" i="21" l="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E9" i="20"/>
  <c r="T8" i="20"/>
  <c r="S8" i="20"/>
  <c r="R8" i="20"/>
  <c r="Q8" i="20"/>
  <c r="P8" i="20"/>
  <c r="O8" i="20"/>
  <c r="N8" i="20"/>
  <c r="M8" i="20"/>
  <c r="L8" i="20"/>
  <c r="K8" i="20"/>
  <c r="J8" i="20"/>
  <c r="I8" i="20"/>
  <c r="H8" i="20"/>
  <c r="G8" i="20"/>
  <c r="F8" i="20"/>
  <c r="E8" i="20"/>
  <c r="T9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T8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T9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T8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AO9" i="14" l="1"/>
  <c r="AN9" i="14"/>
  <c r="AM9" i="14"/>
  <c r="AL9" i="14"/>
  <c r="AK9" i="14"/>
  <c r="AJ9" i="14"/>
  <c r="AI9" i="14"/>
  <c r="AH9" i="14"/>
  <c r="AG9" i="14"/>
  <c r="AF9" i="14"/>
  <c r="AE9" i="14"/>
  <c r="AD9" i="14"/>
  <c r="AC9" i="14"/>
  <c r="AB9" i="14"/>
  <c r="AA9" i="14"/>
  <c r="Z9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AO8" i="8"/>
  <c r="AN8" i="8"/>
  <c r="AM8" i="8"/>
  <c r="AL8" i="8"/>
  <c r="AK8" i="8"/>
  <c r="AJ8" i="8"/>
  <c r="AI8" i="8"/>
  <c r="AH8" i="8"/>
  <c r="AG8" i="8"/>
  <c r="AF8" i="8"/>
  <c r="AE8" i="8"/>
  <c r="AD8" i="8"/>
  <c r="AC8" i="8"/>
  <c r="AB8" i="8"/>
  <c r="AA8" i="8"/>
  <c r="Z8" i="8"/>
  <c r="C67" i="23" l="1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AO7" i="23"/>
  <c r="AN7" i="23"/>
  <c r="AM7" i="23"/>
  <c r="AL7" i="23"/>
  <c r="AK7" i="23"/>
  <c r="AJ7" i="23"/>
  <c r="AI7" i="23"/>
  <c r="AH7" i="23"/>
  <c r="AG7" i="23"/>
  <c r="AF7" i="23"/>
  <c r="AE7" i="23"/>
  <c r="AD7" i="23"/>
  <c r="AC7" i="23"/>
  <c r="AB7" i="23"/>
  <c r="AA7" i="23"/>
  <c r="Z7" i="23"/>
  <c r="AO6" i="23"/>
  <c r="AN6" i="23"/>
  <c r="AM6" i="23"/>
  <c r="AL6" i="23"/>
  <c r="AK6" i="23"/>
  <c r="AJ6" i="23"/>
  <c r="AI6" i="23"/>
  <c r="AH6" i="23"/>
  <c r="AG6" i="23"/>
  <c r="AF6" i="23"/>
  <c r="AE6" i="23"/>
  <c r="AD6" i="23"/>
  <c r="AC6" i="23"/>
  <c r="AB6" i="23"/>
  <c r="AA6" i="23"/>
  <c r="Z6" i="23"/>
  <c r="T6" i="23"/>
  <c r="S6" i="23"/>
  <c r="R6" i="23"/>
  <c r="Q6" i="23"/>
  <c r="P6" i="23"/>
  <c r="O6" i="23"/>
  <c r="N6" i="23"/>
  <c r="M6" i="23"/>
  <c r="L6" i="23"/>
  <c r="K6" i="23"/>
  <c r="J6" i="23"/>
  <c r="I6" i="23"/>
  <c r="H6" i="23"/>
  <c r="G6" i="23"/>
  <c r="F6" i="23"/>
  <c r="E6" i="23"/>
  <c r="AO5" i="23"/>
  <c r="AN5" i="23"/>
  <c r="AM5" i="23"/>
  <c r="AL5" i="23"/>
  <c r="AK5" i="23"/>
  <c r="AJ5" i="23"/>
  <c r="AI5" i="23"/>
  <c r="AH5" i="23"/>
  <c r="AG5" i="23"/>
  <c r="AF5" i="23"/>
  <c r="AE5" i="23"/>
  <c r="AD5" i="23"/>
  <c r="AC5" i="23"/>
  <c r="AB5" i="23"/>
  <c r="AA5" i="23"/>
  <c r="Z5" i="23"/>
  <c r="T5" i="23"/>
  <c r="T7" i="23" s="1"/>
  <c r="S5" i="23"/>
  <c r="S7" i="23" s="1"/>
  <c r="R5" i="23"/>
  <c r="R7" i="23" s="1"/>
  <c r="Q5" i="23"/>
  <c r="Q7" i="23" s="1"/>
  <c r="P5" i="23"/>
  <c r="P7" i="23" s="1"/>
  <c r="O5" i="23"/>
  <c r="O7" i="23" s="1"/>
  <c r="N5" i="23"/>
  <c r="N7" i="23" s="1"/>
  <c r="M5" i="23"/>
  <c r="M7" i="23" s="1"/>
  <c r="L5" i="23"/>
  <c r="L7" i="23" s="1"/>
  <c r="K5" i="23"/>
  <c r="K7" i="23" s="1"/>
  <c r="J5" i="23"/>
  <c r="J7" i="23" s="1"/>
  <c r="I5" i="23"/>
  <c r="I7" i="23" s="1"/>
  <c r="H5" i="23"/>
  <c r="H7" i="23" s="1"/>
  <c r="G5" i="23"/>
  <c r="G7" i="23" s="1"/>
  <c r="F5" i="23"/>
  <c r="F7" i="23" s="1"/>
  <c r="E5" i="23"/>
  <c r="E7" i="23" s="1"/>
  <c r="T4" i="23"/>
  <c r="S4" i="23"/>
  <c r="R4" i="23"/>
  <c r="Q4" i="23"/>
  <c r="P4" i="23"/>
  <c r="O4" i="23"/>
  <c r="N4" i="23"/>
  <c r="M4" i="23"/>
  <c r="L4" i="23"/>
  <c r="K4" i="23"/>
  <c r="J4" i="23"/>
  <c r="I4" i="23"/>
  <c r="H4" i="23"/>
  <c r="G4" i="23"/>
  <c r="F4" i="23"/>
  <c r="E4" i="23"/>
  <c r="AO2" i="23"/>
  <c r="AN2" i="23"/>
  <c r="AM2" i="23"/>
  <c r="AL2" i="23"/>
  <c r="AK2" i="23"/>
  <c r="AJ2" i="23"/>
  <c r="AI2" i="23"/>
  <c r="AH2" i="23"/>
  <c r="AG2" i="23"/>
  <c r="AF2" i="23"/>
  <c r="AE2" i="23"/>
  <c r="AD2" i="23"/>
  <c r="AC2" i="23"/>
  <c r="AB2" i="23"/>
  <c r="AA2" i="23"/>
  <c r="Z2" i="23"/>
  <c r="T2" i="23"/>
  <c r="S2" i="23"/>
  <c r="R2" i="23"/>
  <c r="Q2" i="23"/>
  <c r="P2" i="23"/>
  <c r="O2" i="23"/>
  <c r="N2" i="23"/>
  <c r="M2" i="23"/>
  <c r="L2" i="23"/>
  <c r="K2" i="23"/>
  <c r="J2" i="23"/>
  <c r="I2" i="23"/>
  <c r="H2" i="23"/>
  <c r="G2" i="23"/>
  <c r="F2" i="23"/>
  <c r="E2" i="23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AA7" i="22"/>
  <c r="Z7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T5" i="22"/>
  <c r="T7" i="22" s="1"/>
  <c r="S5" i="22"/>
  <c r="S7" i="22" s="1"/>
  <c r="R5" i="22"/>
  <c r="R7" i="22" s="1"/>
  <c r="Q5" i="22"/>
  <c r="Q7" i="22" s="1"/>
  <c r="P5" i="22"/>
  <c r="P7" i="22" s="1"/>
  <c r="O5" i="22"/>
  <c r="O7" i="22" s="1"/>
  <c r="N5" i="22"/>
  <c r="N7" i="22" s="1"/>
  <c r="M5" i="22"/>
  <c r="M7" i="22" s="1"/>
  <c r="L5" i="22"/>
  <c r="L7" i="22" s="1"/>
  <c r="K5" i="22"/>
  <c r="K7" i="22" s="1"/>
  <c r="J5" i="22"/>
  <c r="J7" i="22" s="1"/>
  <c r="I5" i="22"/>
  <c r="I7" i="22" s="1"/>
  <c r="H5" i="22"/>
  <c r="H7" i="22" s="1"/>
  <c r="G5" i="22"/>
  <c r="G7" i="22" s="1"/>
  <c r="F5" i="22"/>
  <c r="F7" i="22" s="1"/>
  <c r="E5" i="22"/>
  <c r="E7" i="22" s="1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AO2" i="22"/>
  <c r="AN2" i="22"/>
  <c r="AM2" i="22"/>
  <c r="AL2" i="22"/>
  <c r="AK2" i="22"/>
  <c r="AJ2" i="22"/>
  <c r="AI2" i="22"/>
  <c r="AH2" i="22"/>
  <c r="AG2" i="22"/>
  <c r="AF2" i="22"/>
  <c r="AE2" i="22"/>
  <c r="AD2" i="22"/>
  <c r="AC2" i="22"/>
  <c r="AB2" i="22"/>
  <c r="AA2" i="22"/>
  <c r="Z2" i="22"/>
  <c r="T2" i="22"/>
  <c r="S2" i="22"/>
  <c r="R2" i="22"/>
  <c r="Q2" i="22"/>
  <c r="P2" i="22"/>
  <c r="O2" i="22"/>
  <c r="N2" i="22"/>
  <c r="M2" i="22"/>
  <c r="L2" i="22"/>
  <c r="K2" i="22"/>
  <c r="J2" i="22"/>
  <c r="I2" i="22"/>
  <c r="H2" i="22"/>
  <c r="G2" i="22"/>
  <c r="F2" i="22"/>
  <c r="E2" i="22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AO7" i="21"/>
  <c r="AN7" i="21"/>
  <c r="AM7" i="21"/>
  <c r="AL7" i="21"/>
  <c r="AK7" i="21"/>
  <c r="AJ7" i="21"/>
  <c r="AI7" i="21"/>
  <c r="AH7" i="21"/>
  <c r="AG7" i="21"/>
  <c r="AF7" i="21"/>
  <c r="AE7" i="21"/>
  <c r="AD7" i="21"/>
  <c r="AC7" i="21"/>
  <c r="AB7" i="21"/>
  <c r="AA7" i="21"/>
  <c r="Z7" i="21"/>
  <c r="AO6" i="21"/>
  <c r="AN6" i="21"/>
  <c r="AM6" i="21"/>
  <c r="AL6" i="21"/>
  <c r="AK6" i="21"/>
  <c r="AJ6" i="21"/>
  <c r="AI6" i="21"/>
  <c r="AH6" i="21"/>
  <c r="AG6" i="21"/>
  <c r="AF6" i="21"/>
  <c r="AE6" i="21"/>
  <c r="AD6" i="21"/>
  <c r="AC6" i="21"/>
  <c r="AB6" i="21"/>
  <c r="AA6" i="21"/>
  <c r="Z6" i="21"/>
  <c r="T6" i="21"/>
  <c r="S6" i="21"/>
  <c r="R6" i="21"/>
  <c r="Q6" i="21"/>
  <c r="P6" i="21"/>
  <c r="O6" i="21"/>
  <c r="N6" i="21"/>
  <c r="M6" i="21"/>
  <c r="L6" i="21"/>
  <c r="K6" i="21"/>
  <c r="J6" i="21"/>
  <c r="I6" i="21"/>
  <c r="H6" i="21"/>
  <c r="G6" i="21"/>
  <c r="F6" i="21"/>
  <c r="E6" i="21"/>
  <c r="AO5" i="21"/>
  <c r="AN5" i="21"/>
  <c r="AM5" i="21"/>
  <c r="AL5" i="21"/>
  <c r="AK5" i="21"/>
  <c r="AJ5" i="21"/>
  <c r="AI5" i="21"/>
  <c r="AH5" i="21"/>
  <c r="AG5" i="21"/>
  <c r="AF5" i="21"/>
  <c r="AE5" i="21"/>
  <c r="AD5" i="21"/>
  <c r="AC5" i="21"/>
  <c r="AB5" i="21"/>
  <c r="AA5" i="21"/>
  <c r="Z5" i="21"/>
  <c r="T5" i="21"/>
  <c r="T7" i="21" s="1"/>
  <c r="S5" i="21"/>
  <c r="S7" i="21" s="1"/>
  <c r="R5" i="21"/>
  <c r="R7" i="21" s="1"/>
  <c r="Q5" i="21"/>
  <c r="Q7" i="21" s="1"/>
  <c r="P5" i="21"/>
  <c r="P7" i="21" s="1"/>
  <c r="O5" i="21"/>
  <c r="O7" i="21" s="1"/>
  <c r="N5" i="21"/>
  <c r="N7" i="21" s="1"/>
  <c r="M5" i="21"/>
  <c r="M7" i="21" s="1"/>
  <c r="L5" i="21"/>
  <c r="L7" i="21" s="1"/>
  <c r="K5" i="21"/>
  <c r="K7" i="21" s="1"/>
  <c r="J5" i="21"/>
  <c r="J7" i="21" s="1"/>
  <c r="I5" i="21"/>
  <c r="I7" i="21" s="1"/>
  <c r="H5" i="21"/>
  <c r="H7" i="21" s="1"/>
  <c r="G5" i="21"/>
  <c r="G7" i="21" s="1"/>
  <c r="F5" i="21"/>
  <c r="F7" i="21" s="1"/>
  <c r="E5" i="21"/>
  <c r="E7" i="21" s="1"/>
  <c r="T4" i="21"/>
  <c r="S4" i="21"/>
  <c r="R4" i="21"/>
  <c r="Q4" i="21"/>
  <c r="P4" i="21"/>
  <c r="O4" i="21"/>
  <c r="N4" i="21"/>
  <c r="M4" i="21"/>
  <c r="L4" i="21"/>
  <c r="K4" i="21"/>
  <c r="J4" i="21"/>
  <c r="I4" i="21"/>
  <c r="H4" i="21"/>
  <c r="G4" i="21"/>
  <c r="F4" i="21"/>
  <c r="E4" i="21"/>
  <c r="AO2" i="21"/>
  <c r="AN2" i="21"/>
  <c r="AM2" i="21"/>
  <c r="AL2" i="21"/>
  <c r="AK2" i="21"/>
  <c r="AJ2" i="21"/>
  <c r="AI2" i="21"/>
  <c r="AH2" i="21"/>
  <c r="AG2" i="21"/>
  <c r="AF2" i="21"/>
  <c r="AE2" i="21"/>
  <c r="AD2" i="21"/>
  <c r="AC2" i="21"/>
  <c r="AB2" i="21"/>
  <c r="AA2" i="21"/>
  <c r="Z2" i="21"/>
  <c r="T2" i="21"/>
  <c r="S2" i="21"/>
  <c r="R2" i="21"/>
  <c r="Q2" i="21"/>
  <c r="P2" i="21"/>
  <c r="O2" i="21"/>
  <c r="N2" i="21"/>
  <c r="M2" i="21"/>
  <c r="L2" i="21"/>
  <c r="K2" i="21"/>
  <c r="J2" i="21"/>
  <c r="I2" i="21"/>
  <c r="H2" i="21"/>
  <c r="G2" i="21"/>
  <c r="F2" i="21"/>
  <c r="E2" i="21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AO7" i="20"/>
  <c r="AN7" i="20"/>
  <c r="AM7" i="20"/>
  <c r="AL7" i="20"/>
  <c r="AK7" i="20"/>
  <c r="AJ7" i="20"/>
  <c r="AI7" i="20"/>
  <c r="AH7" i="20"/>
  <c r="AG7" i="20"/>
  <c r="AF7" i="20"/>
  <c r="AE7" i="20"/>
  <c r="AD7" i="20"/>
  <c r="AC7" i="20"/>
  <c r="AB7" i="20"/>
  <c r="AA7" i="20"/>
  <c r="Z7" i="20"/>
  <c r="AO6" i="20"/>
  <c r="AN6" i="20"/>
  <c r="AM6" i="20"/>
  <c r="AL6" i="20"/>
  <c r="AK6" i="20"/>
  <c r="AJ6" i="20"/>
  <c r="AI6" i="20"/>
  <c r="AH6" i="20"/>
  <c r="AG6" i="20"/>
  <c r="AF6" i="20"/>
  <c r="AE6" i="20"/>
  <c r="AD6" i="20"/>
  <c r="AC6" i="20"/>
  <c r="AB6" i="20"/>
  <c r="AA6" i="20"/>
  <c r="Z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E6" i="20"/>
  <c r="AO5" i="20"/>
  <c r="AN5" i="20"/>
  <c r="AM5" i="20"/>
  <c r="AL5" i="20"/>
  <c r="AK5" i="20"/>
  <c r="AJ5" i="20"/>
  <c r="AI5" i="20"/>
  <c r="AH5" i="20"/>
  <c r="AG5" i="20"/>
  <c r="AF5" i="20"/>
  <c r="AE5" i="20"/>
  <c r="AD5" i="20"/>
  <c r="AC5" i="20"/>
  <c r="AB5" i="20"/>
  <c r="AA5" i="20"/>
  <c r="Z5" i="20"/>
  <c r="T5" i="20"/>
  <c r="T7" i="20" s="1"/>
  <c r="S5" i="20"/>
  <c r="S7" i="20" s="1"/>
  <c r="R5" i="20"/>
  <c r="R7" i="20" s="1"/>
  <c r="Q5" i="20"/>
  <c r="Q7" i="20" s="1"/>
  <c r="P5" i="20"/>
  <c r="P7" i="20" s="1"/>
  <c r="O5" i="20"/>
  <c r="O7" i="20" s="1"/>
  <c r="N5" i="20"/>
  <c r="N7" i="20" s="1"/>
  <c r="M5" i="20"/>
  <c r="M7" i="20" s="1"/>
  <c r="L5" i="20"/>
  <c r="L7" i="20" s="1"/>
  <c r="K5" i="20"/>
  <c r="K7" i="20" s="1"/>
  <c r="J5" i="20"/>
  <c r="J7" i="20" s="1"/>
  <c r="I5" i="20"/>
  <c r="I7" i="20" s="1"/>
  <c r="H5" i="20"/>
  <c r="H7" i="20" s="1"/>
  <c r="G5" i="20"/>
  <c r="G7" i="20" s="1"/>
  <c r="F5" i="20"/>
  <c r="F7" i="20" s="1"/>
  <c r="E5" i="20"/>
  <c r="E7" i="20" s="1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AO2" i="20"/>
  <c r="AN2" i="20"/>
  <c r="AM2" i="20"/>
  <c r="AL2" i="20"/>
  <c r="AK2" i="20"/>
  <c r="AJ2" i="20"/>
  <c r="AI2" i="20"/>
  <c r="AH2" i="20"/>
  <c r="AG2" i="20"/>
  <c r="AF2" i="20"/>
  <c r="AE2" i="20"/>
  <c r="AD2" i="20"/>
  <c r="AC2" i="20"/>
  <c r="AB2" i="20"/>
  <c r="AA2" i="20"/>
  <c r="Z2" i="20"/>
  <c r="T2" i="20"/>
  <c r="S2" i="20"/>
  <c r="R2" i="20"/>
  <c r="Q2" i="20"/>
  <c r="P2" i="20"/>
  <c r="O2" i="20"/>
  <c r="N2" i="20"/>
  <c r="M2" i="20"/>
  <c r="L2" i="20"/>
  <c r="K2" i="20"/>
  <c r="J2" i="20"/>
  <c r="I2" i="20"/>
  <c r="H2" i="20"/>
  <c r="G2" i="20"/>
  <c r="F2" i="20"/>
  <c r="E2" i="20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AO7" i="19"/>
  <c r="AN7" i="19"/>
  <c r="AM7" i="19"/>
  <c r="AL7" i="19"/>
  <c r="AK7" i="19"/>
  <c r="AJ7" i="19"/>
  <c r="AI7" i="19"/>
  <c r="AH7" i="19"/>
  <c r="AG7" i="19"/>
  <c r="AF7" i="19"/>
  <c r="AE7" i="19"/>
  <c r="AD7" i="19"/>
  <c r="AC7" i="19"/>
  <c r="AB7" i="19"/>
  <c r="AA7" i="19"/>
  <c r="Z7" i="19"/>
  <c r="AO6" i="19"/>
  <c r="AN6" i="19"/>
  <c r="AM6" i="19"/>
  <c r="AL6" i="19"/>
  <c r="AK6" i="19"/>
  <c r="AJ6" i="19"/>
  <c r="AI6" i="19"/>
  <c r="AH6" i="19"/>
  <c r="AG6" i="19"/>
  <c r="AF6" i="19"/>
  <c r="AE6" i="19"/>
  <c r="AD6" i="19"/>
  <c r="AC6" i="19"/>
  <c r="AB6" i="19"/>
  <c r="AA6" i="19"/>
  <c r="Z6" i="19"/>
  <c r="T6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AO5" i="19"/>
  <c r="AN5" i="19"/>
  <c r="AM5" i="19"/>
  <c r="AL5" i="19"/>
  <c r="AK5" i="19"/>
  <c r="AJ5" i="19"/>
  <c r="AI5" i="19"/>
  <c r="AH5" i="19"/>
  <c r="AG5" i="19"/>
  <c r="AF5" i="19"/>
  <c r="AE5" i="19"/>
  <c r="AD5" i="19"/>
  <c r="AC5" i="19"/>
  <c r="AB5" i="19"/>
  <c r="AA5" i="19"/>
  <c r="Z5" i="19"/>
  <c r="T5" i="19"/>
  <c r="T7" i="19" s="1"/>
  <c r="S5" i="19"/>
  <c r="S7" i="19" s="1"/>
  <c r="R5" i="19"/>
  <c r="R7" i="19" s="1"/>
  <c r="Q5" i="19"/>
  <c r="Q7" i="19" s="1"/>
  <c r="P5" i="19"/>
  <c r="P7" i="19" s="1"/>
  <c r="O5" i="19"/>
  <c r="O7" i="19" s="1"/>
  <c r="N5" i="19"/>
  <c r="N7" i="19" s="1"/>
  <c r="M5" i="19"/>
  <c r="M7" i="19" s="1"/>
  <c r="L5" i="19"/>
  <c r="L7" i="19" s="1"/>
  <c r="K5" i="19"/>
  <c r="K7" i="19" s="1"/>
  <c r="J5" i="19"/>
  <c r="J7" i="19" s="1"/>
  <c r="I5" i="19"/>
  <c r="I7" i="19" s="1"/>
  <c r="H5" i="19"/>
  <c r="H7" i="19" s="1"/>
  <c r="G5" i="19"/>
  <c r="G7" i="19" s="1"/>
  <c r="F5" i="19"/>
  <c r="F7" i="19" s="1"/>
  <c r="E5" i="19"/>
  <c r="E7" i="19" s="1"/>
  <c r="T4" i="19"/>
  <c r="S4" i="19"/>
  <c r="R4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AO7" i="18"/>
  <c r="AN7" i="18"/>
  <c r="AM7" i="18"/>
  <c r="AL7" i="18"/>
  <c r="AK7" i="18"/>
  <c r="AJ7" i="18"/>
  <c r="AI7" i="18"/>
  <c r="AH7" i="18"/>
  <c r="AG7" i="18"/>
  <c r="AF7" i="18"/>
  <c r="AE7" i="18"/>
  <c r="AD7" i="18"/>
  <c r="AC7" i="18"/>
  <c r="AB7" i="18"/>
  <c r="AA7" i="18"/>
  <c r="Z7" i="18"/>
  <c r="AO6" i="18"/>
  <c r="AN6" i="18"/>
  <c r="AM6" i="18"/>
  <c r="AL6" i="18"/>
  <c r="AK6" i="18"/>
  <c r="AJ6" i="18"/>
  <c r="AI6" i="18"/>
  <c r="AH6" i="18"/>
  <c r="AG6" i="18"/>
  <c r="AF6" i="18"/>
  <c r="AE6" i="18"/>
  <c r="AD6" i="18"/>
  <c r="AC6" i="18"/>
  <c r="AB6" i="18"/>
  <c r="AA6" i="18"/>
  <c r="Z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AO5" i="18"/>
  <c r="AN5" i="18"/>
  <c r="AM5" i="18"/>
  <c r="AL5" i="18"/>
  <c r="AK5" i="18"/>
  <c r="AJ5" i="18"/>
  <c r="AI5" i="18"/>
  <c r="AH5" i="18"/>
  <c r="AG5" i="18"/>
  <c r="AF5" i="18"/>
  <c r="AE5" i="18"/>
  <c r="AD5" i="18"/>
  <c r="AC5" i="18"/>
  <c r="AB5" i="18"/>
  <c r="AA5" i="18"/>
  <c r="Z5" i="18"/>
  <c r="T5" i="18"/>
  <c r="T7" i="18" s="1"/>
  <c r="S5" i="18"/>
  <c r="S7" i="18" s="1"/>
  <c r="R5" i="18"/>
  <c r="R7" i="18" s="1"/>
  <c r="Q5" i="18"/>
  <c r="Q7" i="18" s="1"/>
  <c r="P5" i="18"/>
  <c r="P7" i="18" s="1"/>
  <c r="O5" i="18"/>
  <c r="O7" i="18" s="1"/>
  <c r="N5" i="18"/>
  <c r="N7" i="18" s="1"/>
  <c r="M5" i="18"/>
  <c r="M7" i="18" s="1"/>
  <c r="L5" i="18"/>
  <c r="L7" i="18" s="1"/>
  <c r="K5" i="18"/>
  <c r="K7" i="18" s="1"/>
  <c r="J5" i="18"/>
  <c r="J7" i="18" s="1"/>
  <c r="I5" i="18"/>
  <c r="I7" i="18" s="1"/>
  <c r="H5" i="18"/>
  <c r="H7" i="18" s="1"/>
  <c r="G5" i="18"/>
  <c r="G7" i="18" s="1"/>
  <c r="F5" i="18"/>
  <c r="F7" i="18" s="1"/>
  <c r="E5" i="18"/>
  <c r="E7" i="18" s="1"/>
  <c r="T4" i="18"/>
  <c r="S4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Z2" i="8" l="1"/>
  <c r="AA2" i="8"/>
  <c r="AB2" i="8"/>
  <c r="AC2" i="8"/>
  <c r="AD2" i="8"/>
  <c r="AE2" i="8"/>
  <c r="AF2" i="8"/>
  <c r="AG2" i="8"/>
  <c r="AH2" i="8"/>
  <c r="AI2" i="8"/>
  <c r="AJ2" i="8"/>
  <c r="AK2" i="8"/>
  <c r="AL2" i="8"/>
  <c r="AM2" i="8"/>
  <c r="AN2" i="8"/>
  <c r="AO2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C67" i="16"/>
  <c r="C66" i="16"/>
  <c r="C65" i="16"/>
  <c r="C64" i="16"/>
  <c r="C63" i="16"/>
  <c r="C62" i="16"/>
  <c r="C61" i="16"/>
  <c r="C60" i="16"/>
  <c r="C59" i="16"/>
  <c r="C58" i="16"/>
  <c r="C57" i="16"/>
  <c r="C56" i="16"/>
  <c r="C55" i="16"/>
  <c r="C54" i="16"/>
  <c r="C53" i="16"/>
  <c r="C52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T5" i="16"/>
  <c r="T7" i="16" s="1"/>
  <c r="S5" i="16"/>
  <c r="S7" i="16" s="1"/>
  <c r="R5" i="16"/>
  <c r="R7" i="16" s="1"/>
  <c r="Q5" i="16"/>
  <c r="Q7" i="16" s="1"/>
  <c r="P5" i="16"/>
  <c r="P7" i="16" s="1"/>
  <c r="O5" i="16"/>
  <c r="O7" i="16" s="1"/>
  <c r="N5" i="16"/>
  <c r="N7" i="16" s="1"/>
  <c r="M5" i="16"/>
  <c r="M7" i="16" s="1"/>
  <c r="L5" i="16"/>
  <c r="L7" i="16" s="1"/>
  <c r="K5" i="16"/>
  <c r="K7" i="16" s="1"/>
  <c r="J5" i="16"/>
  <c r="J7" i="16" s="1"/>
  <c r="I5" i="16"/>
  <c r="I7" i="16" s="1"/>
  <c r="H5" i="16"/>
  <c r="H7" i="16" s="1"/>
  <c r="G5" i="16"/>
  <c r="G7" i="16" s="1"/>
  <c r="F5" i="16"/>
  <c r="F7" i="16" s="1"/>
  <c r="E5" i="16"/>
  <c r="E7" i="16" s="1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AO2" i="16"/>
  <c r="AN2" i="16"/>
  <c r="AM2" i="16"/>
  <c r="AL2" i="16"/>
  <c r="AK2" i="16"/>
  <c r="AJ2" i="16"/>
  <c r="AI2" i="16"/>
  <c r="AH2" i="16"/>
  <c r="AG2" i="16"/>
  <c r="AF2" i="16"/>
  <c r="AE2" i="16"/>
  <c r="AD2" i="16"/>
  <c r="AC2" i="16"/>
  <c r="AB2" i="16"/>
  <c r="AA2" i="16"/>
  <c r="Z2" i="16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G2" i="16"/>
  <c r="F2" i="16"/>
  <c r="E2" i="16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AO7" i="15"/>
  <c r="AN7" i="15"/>
  <c r="AM7" i="15"/>
  <c r="AL7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AO6" i="15"/>
  <c r="AN6" i="15"/>
  <c r="AM6" i="15"/>
  <c r="AL6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AO5" i="15"/>
  <c r="AN5" i="15"/>
  <c r="AM5" i="15"/>
  <c r="AL5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T5" i="15"/>
  <c r="T7" i="15" s="1"/>
  <c r="S5" i="15"/>
  <c r="S7" i="15" s="1"/>
  <c r="R5" i="15"/>
  <c r="R7" i="15" s="1"/>
  <c r="Q5" i="15"/>
  <c r="Q7" i="15" s="1"/>
  <c r="P5" i="15"/>
  <c r="P7" i="15" s="1"/>
  <c r="O5" i="15"/>
  <c r="O7" i="15" s="1"/>
  <c r="N5" i="15"/>
  <c r="N7" i="15" s="1"/>
  <c r="M5" i="15"/>
  <c r="M7" i="15" s="1"/>
  <c r="L5" i="15"/>
  <c r="L7" i="15" s="1"/>
  <c r="K5" i="15"/>
  <c r="K7" i="15" s="1"/>
  <c r="J5" i="15"/>
  <c r="J7" i="15" s="1"/>
  <c r="I5" i="15"/>
  <c r="I7" i="15" s="1"/>
  <c r="H5" i="15"/>
  <c r="H7" i="15" s="1"/>
  <c r="G5" i="15"/>
  <c r="G7" i="15" s="1"/>
  <c r="F5" i="15"/>
  <c r="F7" i="15" s="1"/>
  <c r="E5" i="15"/>
  <c r="E7" i="15" s="1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AO2" i="15"/>
  <c r="AN2" i="15"/>
  <c r="AM2" i="15"/>
  <c r="AL2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AC7" i="14"/>
  <c r="AB7" i="14"/>
  <c r="AA7" i="14"/>
  <c r="Z7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AC6" i="14"/>
  <c r="AB6" i="14"/>
  <c r="AA6" i="14"/>
  <c r="Z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AC5" i="14"/>
  <c r="AB5" i="14"/>
  <c r="AA5" i="14"/>
  <c r="Z5" i="14"/>
  <c r="T5" i="14"/>
  <c r="T7" i="14" s="1"/>
  <c r="S5" i="14"/>
  <c r="S7" i="14" s="1"/>
  <c r="R5" i="14"/>
  <c r="R7" i="14" s="1"/>
  <c r="Q5" i="14"/>
  <c r="Q7" i="14" s="1"/>
  <c r="P5" i="14"/>
  <c r="P7" i="14" s="1"/>
  <c r="O5" i="14"/>
  <c r="O7" i="14" s="1"/>
  <c r="N5" i="14"/>
  <c r="N7" i="14" s="1"/>
  <c r="M5" i="14"/>
  <c r="M7" i="14" s="1"/>
  <c r="L5" i="14"/>
  <c r="L7" i="14" s="1"/>
  <c r="K5" i="14"/>
  <c r="K7" i="14" s="1"/>
  <c r="J5" i="14"/>
  <c r="J7" i="14" s="1"/>
  <c r="I5" i="14"/>
  <c r="I7" i="14" s="1"/>
  <c r="H5" i="14"/>
  <c r="H7" i="14" s="1"/>
  <c r="G5" i="14"/>
  <c r="G7" i="14" s="1"/>
  <c r="F5" i="14"/>
  <c r="F7" i="14" s="1"/>
  <c r="E5" i="14"/>
  <c r="E7" i="14" s="1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E2" i="14"/>
  <c r="C67" i="13" l="1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AO7" i="13"/>
  <c r="AN7" i="13"/>
  <c r="AM7" i="13"/>
  <c r="AL7" i="13"/>
  <c r="AK7" i="13"/>
  <c r="AJ7" i="13"/>
  <c r="AI7" i="13"/>
  <c r="AH7" i="13"/>
  <c r="AG7" i="13"/>
  <c r="AF7" i="13"/>
  <c r="AE7" i="13"/>
  <c r="AD7" i="13"/>
  <c r="AC7" i="13"/>
  <c r="AB7" i="13"/>
  <c r="AA7" i="13"/>
  <c r="Z7" i="13"/>
  <c r="AO6" i="13"/>
  <c r="AN6" i="13"/>
  <c r="AM6" i="13"/>
  <c r="AL6" i="13"/>
  <c r="AK6" i="13"/>
  <c r="AJ6" i="13"/>
  <c r="AI6" i="13"/>
  <c r="AH6" i="13"/>
  <c r="AG6" i="13"/>
  <c r="AF6" i="13"/>
  <c r="AE6" i="13"/>
  <c r="AD6" i="13"/>
  <c r="AC6" i="13"/>
  <c r="AB6" i="13"/>
  <c r="AA6" i="13"/>
  <c r="Z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AO5" i="13"/>
  <c r="AN5" i="13"/>
  <c r="AM5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T5" i="13"/>
  <c r="S5" i="13"/>
  <c r="S7" i="13" s="1"/>
  <c r="R5" i="13"/>
  <c r="R7" i="13" s="1"/>
  <c r="Q5" i="13"/>
  <c r="Q7" i="13" s="1"/>
  <c r="P5" i="13"/>
  <c r="P7" i="13" s="1"/>
  <c r="O5" i="13"/>
  <c r="O7" i="13" s="1"/>
  <c r="N5" i="13"/>
  <c r="N7" i="13" s="1"/>
  <c r="M5" i="13"/>
  <c r="M7" i="13" s="1"/>
  <c r="L5" i="13"/>
  <c r="L7" i="13" s="1"/>
  <c r="K5" i="13"/>
  <c r="K7" i="13" s="1"/>
  <c r="J5" i="13"/>
  <c r="J7" i="13" s="1"/>
  <c r="I5" i="13"/>
  <c r="I7" i="13" s="1"/>
  <c r="H5" i="13"/>
  <c r="H7" i="13" s="1"/>
  <c r="G5" i="13"/>
  <c r="G7" i="13" s="1"/>
  <c r="F5" i="13"/>
  <c r="F7" i="13" s="1"/>
  <c r="E5" i="13"/>
  <c r="E7" i="13" s="1"/>
  <c r="T4" i="13"/>
  <c r="S4" i="13"/>
  <c r="R4" i="13"/>
  <c r="Q4" i="13"/>
  <c r="P4" i="13"/>
  <c r="O4" i="13"/>
  <c r="N4" i="13"/>
  <c r="M4" i="13"/>
  <c r="L4" i="13"/>
  <c r="K4" i="13"/>
  <c r="J4" i="13"/>
  <c r="I4" i="13"/>
  <c r="H4" i="13"/>
  <c r="G4" i="13"/>
  <c r="F4" i="13"/>
  <c r="E4" i="13"/>
  <c r="AO2" i="13"/>
  <c r="AN2" i="13"/>
  <c r="AM2" i="13"/>
  <c r="AL2" i="13"/>
  <c r="AK2" i="13"/>
  <c r="AJ2" i="13"/>
  <c r="AI2" i="13"/>
  <c r="AH2" i="13"/>
  <c r="AG2" i="13"/>
  <c r="AF2" i="13"/>
  <c r="AE2" i="13"/>
  <c r="AD2" i="13"/>
  <c r="AC2" i="13"/>
  <c r="AB2" i="13"/>
  <c r="AA2" i="13"/>
  <c r="Z2" i="13"/>
  <c r="T2" i="13"/>
  <c r="S2" i="13"/>
  <c r="R2" i="13"/>
  <c r="Q2" i="13"/>
  <c r="P2" i="13"/>
  <c r="O2" i="13"/>
  <c r="N2" i="13"/>
  <c r="M2" i="13"/>
  <c r="L2" i="13"/>
  <c r="K2" i="13"/>
  <c r="J2" i="13"/>
  <c r="I2" i="13"/>
  <c r="H2" i="13"/>
  <c r="G2" i="13"/>
  <c r="F2" i="13"/>
  <c r="E2" i="13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T5" i="12"/>
  <c r="T7" i="12" s="1"/>
  <c r="S5" i="12"/>
  <c r="S7" i="12" s="1"/>
  <c r="R5" i="12"/>
  <c r="R7" i="12" s="1"/>
  <c r="Q5" i="12"/>
  <c r="Q7" i="12" s="1"/>
  <c r="P5" i="12"/>
  <c r="P7" i="12" s="1"/>
  <c r="O5" i="12"/>
  <c r="O7" i="12" s="1"/>
  <c r="N5" i="12"/>
  <c r="N7" i="12" s="1"/>
  <c r="M5" i="12"/>
  <c r="M7" i="12" s="1"/>
  <c r="L5" i="12"/>
  <c r="L7" i="12" s="1"/>
  <c r="K5" i="12"/>
  <c r="K7" i="12" s="1"/>
  <c r="J5" i="12"/>
  <c r="J7" i="12" s="1"/>
  <c r="I5" i="12"/>
  <c r="I7" i="12" s="1"/>
  <c r="H5" i="12"/>
  <c r="H7" i="12" s="1"/>
  <c r="G5" i="12"/>
  <c r="G7" i="12" s="1"/>
  <c r="F5" i="12"/>
  <c r="F7" i="12" s="1"/>
  <c r="E5" i="12"/>
  <c r="E7" i="12" s="1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T7" i="13" l="1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T5" i="8"/>
  <c r="T7" i="8" s="1"/>
  <c r="S5" i="8"/>
  <c r="S7" i="8" s="1"/>
  <c r="R5" i="8"/>
  <c r="R7" i="8" s="1"/>
  <c r="Q5" i="8"/>
  <c r="Q7" i="8" s="1"/>
  <c r="P5" i="8"/>
  <c r="P7" i="8" s="1"/>
  <c r="O5" i="8"/>
  <c r="O7" i="8" s="1"/>
  <c r="N5" i="8"/>
  <c r="N7" i="8" s="1"/>
  <c r="M5" i="8"/>
  <c r="M7" i="8" s="1"/>
  <c r="L5" i="8"/>
  <c r="L7" i="8" s="1"/>
  <c r="K5" i="8"/>
  <c r="K7" i="8" s="1"/>
  <c r="J5" i="8"/>
  <c r="J7" i="8" s="1"/>
  <c r="I5" i="8"/>
  <c r="I7" i="8" s="1"/>
  <c r="H5" i="8"/>
  <c r="H7" i="8" s="1"/>
  <c r="G5" i="8"/>
  <c r="G7" i="8" s="1"/>
  <c r="F5" i="8"/>
  <c r="F7" i="8" s="1"/>
  <c r="E5" i="8"/>
  <c r="E7" i="8" s="1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</calcChain>
</file>

<file path=xl/connections.xml><?xml version="1.0" encoding="utf-8"?>
<connections xmlns="http://schemas.openxmlformats.org/spreadsheetml/2006/main">
  <connection id="1" name="line_status" type="6" refreshedVersion="4" background="1" saveData="1">
    <textPr prompt="0" codePage="850" sourceFile="d:\G.fast\Results\516G\2016-08-30-14-40-21_Performance_GA4RC124_coax_all_lines_VEC\516G_Mds29_055600_010000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line_status1" type="6" refreshedVersion="4" background="1" saveData="1">
    <textPr prompt="0" codePage="850" sourceFile="d:\G.fast\Results\516G\2016-08-30-14-40-21_Performance_GA4RC124_coax_all_lines_VEC\516G_Mds29_055600_010000_coax_distributed_DTV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ine_status10" type="6" refreshedVersion="4" background="1" saveData="1">
    <textPr prompt="0" codePage="850" sourceFile="d:\G.fast\Results\516G\2016-08-17-09-38-22_Performanc_GA4RC114_coax_all_lines_VEC\516G_Mds18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ine_status101" type="6" refreshedVersion="4" background="1" saveData="1">
    <textPr prompt="0" codePage="850" sourceFile="d:\G.fast\Results\516G\2016-08-17-09-38-22_Performanc_GA4RC114_coax_all_lines_VEC\516G_Mds18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line_status1011" type="6" refreshedVersion="4" background="1" saveData="1">
    <textPr prompt="0" codePage="850" sourceFile="d:\G.fast\Results\516G\2016-08-17-09-38-22_Performanc_GA4RC114_coax_all_lines_VEC\516G_Mds18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line_status10111" type="6" refreshedVersion="4" background="1" saveData="1">
    <textPr prompt="0" codePage="850" sourceFile="d:\G.fast\Results\516G\2016-08-17-09-38-22_Performanc_GA4RC114_coax_all_lines_VEC\516G_Mds18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line_status101111" type="6" refreshedVersion="4" background="1" saveData="1">
    <textPr prompt="0" codePage="850" sourceFile="d:\G.fast\Results\516G\2016-08-17-09-38-22_Performanc_GA4RC114_coax_all_lines_VEC\516G_Mds18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line_status1011111" type="6" refreshedVersion="4" background="1" saveData="1">
    <textPr prompt="0" codePage="850" sourceFile="d:\G.fast\Results\516G\2016-08-17-09-38-22_Performanc_GA4RC114_coax_all_lines_VEC\516G_Mds18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line_status10111111" type="6" refreshedVersion="4" background="1" saveData="1">
    <textPr prompt="0" codePage="850" sourceFile="d:\G.fast\Results\516G\2016-08-17-09-38-22_Performanc_GA4RC114_coax_all_lines_VEC\516G_Mds18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line_status1011112" type="6" refreshedVersion="4" background="1" saveData="1">
    <textPr prompt="0" codePage="850" sourceFile="d:\G.fast\Results\516G\2016-08-17-09-38-22_Performanc_GA4RC114_coax_all_lines_VEC\516G_Mds18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line_status101112" type="6" refreshedVersion="4" background="1" saveData="1">
    <textPr prompt="0" codePage="850" sourceFile="d:\G.fast\Results\516G\2016-08-17-09-38-22_Performanc_GA4RC114_coax_all_lines_VEC\516G_Mds18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line_status10112" type="6" refreshedVersion="4" background="1" saveData="1">
    <textPr prompt="0" codePage="850" sourceFile="d:\G.fast\Results\516G\2016-08-17-09-38-22_Performanc_GA4RC114_coax_all_lines_VEC\516G_Mds18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line_status11" type="6" refreshedVersion="4" background="1" saveData="1">
    <textPr prompt="0" codePage="850" sourceFile="d:\G.fast\Results\516G\2016-08-17-09-38-22_Performanc_GA4RC114_coax_all_lines_VEC\516G_Mds18_0043_2047_coax_distributed_DTV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line_status111" type="6" refreshedVersion="4" background="1" saveData="1">
    <textPr prompt="0" codePage="850" sourceFile="d:\G.fast\Results\516G\2016-08-17-09-38-22_Performanc_GA4RC114_coax_all_lines_VEC\516G_Mds18_0043_2047_coax_distributed_DTV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line_status12" type="6" refreshedVersion="4" background="1" saveData="1">
    <textPr prompt="0" codePage="850" sourceFile="d:\G.fast\Results\516G\2016-08-30-14-40-21_Performance_GA4RC124_coax_all_lines_VEC\516G_Mds29_120600_075000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line_status13" type="6" refreshedVersion="0" background="1">
    <textPr prompt="0" sourceFile="S:\Etc\DSL\DSL-test-reports\G.Fast\516G\DSR5.3.1\20160520_11321761F1_01.04.04.00_Performance\2016-05-18-18-30-37_Performanc_GA4RC04_all_lines_VEC\516G_Mds28_0043_2047_length_025\line_status.csv" decimal="," thousands=".">
      <textFields>
        <textField/>
      </textFields>
    </textPr>
  </connection>
  <connection id="17" name="line_status14" type="6" refreshedVersion="4" background="1" saveData="1">
    <textPr prompt="0" codePage="850" sourceFile="d:\G.fast\Results\516G\2016-08-30-14-40-21_Performance_GA4RC124_coax_all_lines_VEC\516G_Mds29_120600_075000_coax_distributed_DTV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line_status15" type="6" refreshedVersion="4" background="1" saveData="1">
    <textPr prompt="0" codePage="850" sourceFile="d:\G.fast\Results\516G\2017-01-18-18-24-27_Performance_GA4RC151_coax_all_lines_VEC\516G_Mds29_055600_01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line_status16" type="6" refreshedVersion="4" background="1" saveData="1">
    <textPr prompt="0" codePage="850" sourceFile="d:\G.fast\Results\516G\2017-01-18-18-24-27_Performance_GA4RC151_coax_all_lines_VEC\516G_Mds29_055600_010000_coax_distributed_DTV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line_status17" type="6" refreshedVersion="4" background="1" saveData="1">
    <textPr prompt="0" codePage="850" sourceFile="d:\G.fast\Results\516G\2017-01-18-18-24-27_Performance_GA4RC151_coax_all_lines_VEC\516G_Mds29_070600_025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line_status18" type="6" refreshedVersion="4" background="1" saveData="1">
    <textPr prompt="0" codePage="850" sourceFile="d:\G.fast\Results\516G\2017-01-18-18-24-27_Performance_GA4RC151_coax_all_lines_VEC\516G_Mds29_070600_025000_coax_distributed_DTV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line_status19" type="6" refreshedVersion="4" background="1" saveData="1">
    <textPr prompt="0" codePage="850" sourceFile="d:\G.fast\Results\516G\2017-01-18-18-24-27_Performance_GA4RC151_coax_all_lines_VEC\516G_Mds29_095600_025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line_status2" type="6" refreshedVersion="4" background="1" saveData="1">
    <textPr prompt="0" codePage="850" sourceFile="d:\G.fast\Results\516G\2016-08-30-14-40-21_Performance_GA4RC124_coax_all_lines_VEC\516G_Mds29_070600_025000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ne_status20" type="6" refreshedVersion="4" background="1" saveData="1">
    <textPr prompt="0" codePage="850" sourceFile="d:\G.fast\Results\516G\2017-01-18-18-24-27_Performance_GA4RC151_coax_all_lines_VEC\516G_Mds29_095600_025000_coax_distributed_DTV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line_status21" type="6" refreshedVersion="4" background="1" saveData="1">
    <textPr prompt="0" codePage="850" sourceFile="d:\G.fast\Results\516G\2017-01-18-18-24-27_Performance_GA4RC151_coax_all_lines_VEC\516G_Mds29_120600_075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line_status22" type="6" refreshedVersion="4" background="1" saveData="1">
    <textPr prompt="0" codePage="850" sourceFile="d:\G.fast\Results\516G\2017-01-18-18-24-27_Performance_GA4RC151_coax_all_lines_VEC\516G_Mds29_120600_075000_coax_distributed_DTV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line_status23" type="6" refreshedVersion="4" background="1" saveData="1">
    <textPr prompt="0" codePage="850" sourceFile="d:\G.fast\Results\516G\2017-01-18-18-24-27_Performance_GA4RC151_coax_all_lines_VEC\516G_Mds29_1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line_status24" type="6" refreshedVersion="4" background="1" saveData="1">
    <textPr prompt="0" codePage="850" sourceFile="d:\G.fast\Results\516G\2017-01-18-18-24-27_Performance_GA4RC151_coax_all_lines_VEC\516G_Mds29_145600_100000_coax_distributed_DTV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line_status25" type="6" refreshedVersion="4" background="1" saveData="1">
    <textPr prompt="0" codePage="850" sourceFile="d:\G.fast\Results\516G\2017-01-18-18-24-27_Performance_GA4RC151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line_status251" type="6" refreshedVersion="4" background="1" saveData="1">
    <textPr prompt="0" codePage="850" sourceFile="d:\G.fast\Results\516G\2017-01-18-18-24-27_Performance_GA4RC151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line_status2511" type="6" refreshedVersion="4" background="1" saveData="1">
    <textPr prompt="0" codePage="850" sourceFile="d:\G.fast\Results\516G\2017-01-18-18-24-27_Performance_GA4RC151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line_status25111" type="6" refreshedVersion="4" background="1" saveData="1">
    <textPr prompt="0" codePage="850" sourceFile="d:\G.fast\Results\516G\2017-01-18-18-24-27_Performance_GA4RC151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line_status251111" type="6" refreshedVersion="4" background="1" saveData="1">
    <textPr prompt="0" codePage="850" sourceFile="d:\G.fast\Results\516G\2017-01-18-18-24-27_Performance_GA4RC151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line_status2511111" type="6" refreshedVersion="4" background="1" saveData="1">
    <textPr prompt="0" codePage="850" sourceFile="d:\G.fast\Results\516G\2017-01-18-18-24-27_Performance_GA4RC151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line_status251112" type="6" refreshedVersion="4" background="1" saveData="1">
    <textPr prompt="0" codePage="850" sourceFile="d:\G.fast\Results\516G\2017-01-18-18-24-27_Performance_GA4RC151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line_status25112" type="6" refreshedVersion="4" background="1" saveData="1">
    <textPr prompt="0" codePage="850" sourceFile="d:\G.fast\Results\516G\2017-01-18-18-24-27_Performance_GA4RC151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line_status2512" type="6" refreshedVersion="4" background="1" saveData="1">
    <textPr prompt="0" codePage="850" sourceFile="d:\G.fast\Results\516G\2017-01-18-18-24-27_Performance_GA4RC151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line_status26" type="6" refreshedVersion="4" background="1" saveData="1">
    <textPr prompt="0" codePage="850" sourceFile="d:\G.fast\Results\516G\2017-01-18-18-24-27_Performance_GA4RC151_coax_all_lines_VEC\516G_Mds29_545600_100000_coax_distributed_DTV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line_status27" type="6" refreshedVersion="4" background="1" saveData="1">
    <textPr prompt="0" codePage="850" sourceFile="d:\G.fast\Results\516G\2017-01-20-17-00-24_Performance_GA4RC153_coax_all_lines_VEC\516G_Mds29_055600_01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line_status28" type="6" refreshedVersion="4" background="1" saveData="1">
    <textPr prompt="0" codePage="850" sourceFile="d:\G.fast\Results\516G\2017-01-20-17-00-24_Performance_GA4RC153_coax_all_lines_VEC\516G_Mds29_055600_010000_coax_distributed_DTV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line_status29" type="6" refreshedVersion="4" background="1" saveData="1">
    <textPr prompt="0" codePage="850" sourceFile="d:\G.fast\Results\516G\2017-01-20-17-00-24_Performance_GA4RC153_coax_all_lines_VEC\516G_Mds29_070600_025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line_status3" type="6" refreshedVersion="4" background="1" saveData="1">
    <textPr prompt="0" codePage="850" sourceFile="d:\G.fast\Results\516G\2016-08-30-14-40-21_Performance_GA4RC124_coax_all_lines_VEC\516G_Mds29_070600_025000_coax_distributed_DTV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line_status30" type="6" refreshedVersion="4" background="1" saveData="1">
    <textPr prompt="0" codePage="850" sourceFile="d:\G.fast\Results\516G\2017-01-20-17-00-24_Performance_GA4RC153_coax_all_lines_VEC\516G_Mds29_070600_025000_coax_distributed_DTV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line_status31" type="6" refreshedVersion="4" background="1" saveData="1">
    <textPr prompt="0" codePage="850" sourceFile="d:\G.fast\Results\516G\2017-01-20-17-00-24_Performance_GA4RC153_coax_all_lines_VEC\516G_Mds29_095600_025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line_status32" type="6" refreshedVersion="4" background="1" saveData="1">
    <textPr prompt="0" codePage="850" sourceFile="d:\G.fast\Results\516G\2017-01-20-17-00-24_Performance_GA4RC153_coax_all_lines_VEC\516G_Mds29_095600_025000_coax_distributed_DTV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line_status33" type="6" refreshedVersion="4" background="1" saveData="1">
    <textPr prompt="0" codePage="850" sourceFile="d:\G.fast\Results\516G\2017-01-20-17-00-24_Performance_GA4RC153_coax_all_lines_VEC\516G_Mds29_120600_075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line_status34" type="6" refreshedVersion="4" background="1" saveData="1">
    <textPr prompt="0" codePage="850" sourceFile="d:\G.fast\Results\516G\2017-01-20-17-00-24_Performance_GA4RC153_coax_all_lines_VEC\516G_Mds29_120600_075000_coax_distributed_DTV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line_status35" type="6" refreshedVersion="4" background="1" saveData="1">
    <textPr prompt="0" codePage="850" sourceFile="d:\G.fast\Results\516G\2017-01-20-17-00-24_Performance_GA4RC153_coax_all_lines_VEC\516G_Mds29_1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line_status36" type="6" refreshedVersion="4" background="1" saveData="1">
    <textPr prompt="0" codePage="850" sourceFile="d:\G.fast\Results\516G\2017-01-20-17-00-24_Performance_GA4RC153_coax_all_lines_VEC\516G_Mds29_145600_100000_coax_distributed_DTV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line_status37" type="6" refreshedVersion="4" background="1" saveData="1">
    <textPr prompt="0" codePage="850" sourceFile="d:\G.fast\Results\516G\2017-01-20-17-00-24_Performance_GA4RC153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line_status371" type="6" refreshedVersion="4" background="1" saveData="1">
    <textPr prompt="0" codePage="850" sourceFile="d:\G.fast\Results\516G\2017-01-20-17-00-24_Performance_GA4RC153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line_status3711" type="6" refreshedVersion="4" background="1" saveData="1">
    <textPr prompt="0" codePage="850" sourceFile="d:\G.fast\Results\516G\2017-01-20-17-00-24_Performance_GA4RC153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line_status37111" type="6" refreshedVersion="4" background="1" saveData="1">
    <textPr prompt="0" codePage="850" sourceFile="d:\G.fast\Results\516G\2017-01-20-17-00-24_Performance_GA4RC153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line_status371111" type="6" refreshedVersion="4" background="1" saveData="1">
    <textPr prompt="0" codePage="850" sourceFile="d:\G.fast\Results\516G\2017-01-20-17-00-24_Performance_GA4RC153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line_status3711111" type="6" refreshedVersion="4" background="1" saveData="1">
    <textPr prompt="0" codePage="850" sourceFile="d:\G.fast\Results\516G\2017-01-20-17-00-24_Performance_GA4RC153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line_status371112" type="6" refreshedVersion="4" background="1" saveData="1">
    <textPr prompt="0" codePage="850" sourceFile="d:\G.fast\Results\516G\2017-01-20-17-00-24_Performance_GA4RC153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line_status37112" type="6" refreshedVersion="4" background="1" saveData="1">
    <textPr prompt="0" codePage="850" sourceFile="d:\G.fast\Results\516G\2017-01-20-17-00-24_Performance_GA4RC153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line_status3712" type="6" refreshedVersion="4" background="1" saveData="1">
    <textPr prompt="0" codePage="850" sourceFile="d:\G.fast\Results\516G\2017-01-20-17-00-24_Performance_GA4RC153_coax_all_lines_VEC\516G_Mds29_545600_100000_coax_distributed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line_status38" type="6" refreshedVersion="4" background="1" saveData="1">
    <textPr prompt="0" codePage="850" sourceFile="d:\G.fast\Results\516G\2017-01-20-17-00-24_Performance_GA4RC153_coax_all_lines_VEC\516G_Mds29_545600_100000_coax_distributed_DTV\line_status.csv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line_status4" type="6" refreshedVersion="4" background="1" saveData="1">
    <textPr prompt="0" codePage="850" sourceFile="d:\G.fast\Results\516G\2016-08-30-14-40-21_Performance_GA4RC124_coax_all_lines_VEC\516G_Mds29_095600_025000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line_status5" type="6" refreshedVersion="4" background="1" saveData="1">
    <textPr prompt="0" codePage="850" sourceFile="d:\G.fast\Results\516G\2016-08-30-14-40-21_Performance_GA4RC124_coax_all_lines_VEC\516G_Mds29_095600_025000_coax_distributed_DTV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line_status53" type="6" refreshedVersion="0" background="1">
    <textPr prompt="0" sourceFile="d:\G.fast\Results\516G\2016-05-20-13-12-07_Performanc_GA4RC04_all_lines_VEC\\516G_Mds29_0043_2047_length_025\line_status.csv" decimal="," thousands=".">
      <textFields>
        <textField/>
      </textFields>
    </textPr>
  </connection>
  <connection id="63" name="line_status6" type="6" refreshedVersion="4" background="1" saveData="1">
    <textPr prompt="0" codePage="850" sourceFile="d:\G.fast\Results\516G\2016-08-17-09-38-22_Performanc_GA4RC114_coax_all_lines_VEC\516G_Mds29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line_status61" type="6" refreshedVersion="4" background="1" saveData="1">
    <textPr prompt="0" codePage="850" sourceFile="d:\G.fast\Results\516G\2016-08-17-09-38-22_Performanc_GA4RC114_coax_all_lines_VEC\516G_Mds29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line_status7" type="6" refreshedVersion="4" background="1" saveData="1">
    <textPr prompt="0" codePage="850" sourceFile="d:\G.fast\Results\516G\2016-08-17-09-38-22_Performanc_GA4RC114_coax_all_lines_VEC\516G_Mds29_0043_2047_coax_distributed_DTV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line_status71" type="6" refreshedVersion="4" background="1" saveData="1">
    <textPr prompt="0" codePage="850" sourceFile="d:\G.fast\Results\516G\2016-08-17-09-38-22_Performanc_GA4RC114_coax_all_lines_VEC\516G_Mds29_0043_2047_coax_distributed_DTV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line_status8" type="6" refreshedVersion="4" background="1" saveData="1">
    <textPr prompt="0" codePage="850" sourceFile="d:\G.fast\Results\516G\2016-08-17-09-38-22_Performanc_GA4RC114_coax_all_lines_VEC\516G_Mds28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line_status81" type="6" refreshedVersion="4" background="1" saveData="1">
    <textPr prompt="0" codePage="850" sourceFile="d:\G.fast\Results\516G\2016-08-17-09-38-22_Performanc_GA4RC114_coax_all_lines_VEC\516G_Mds28_0043_2047_coax_distributed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line_status9" type="6" refreshedVersion="4" background="1" saveData="1">
    <textPr prompt="0" codePage="850" sourceFile="d:\G.fast\Results\516G\2016-08-17-09-38-22_Performanc_GA4RC114_coax_all_lines_VEC\516G_Mds28_0043_2047_coax_distributed_DTV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line_status91" type="6" refreshedVersion="4" background="1" saveData="1">
    <textPr prompt="0" codePage="850" sourceFile="d:\G.fast\Results\516G\2016-08-17-09-38-22_Performanc_GA4RC114_coax_all_lines_VEC\516G_Mds28_0043_2047_coax_distributed_DTV\line_status.csv" decimal="," thousands="." tab="0" semicolon="1">
      <textFields count="4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<sst xmlns="http://schemas.openxmlformats.org/spreadsheetml/2006/main" count="3172" uniqueCount="202">
  <si>
    <t>50m</t>
  </si>
  <si>
    <t>100m</t>
  </si>
  <si>
    <t>200m</t>
  </si>
  <si>
    <t>Line</t>
  </si>
  <si>
    <t>US</t>
  </si>
  <si>
    <t>DS</t>
  </si>
  <si>
    <t>150m</t>
  </si>
  <si>
    <t>DS:</t>
  </si>
  <si>
    <t>G.9701,</t>
  </si>
  <si>
    <t>SHOWTIME,</t>
  </si>
  <si>
    <t>MHz</t>
  </si>
  <si>
    <t>2-106</t>
  </si>
  <si>
    <t>Mds=31;</t>
  </si>
  <si>
    <t>2x375m;</t>
  </si>
  <si>
    <t>2x175m,</t>
  </si>
  <si>
    <t>2x75m,</t>
  </si>
  <si>
    <t>2x25m,</t>
  </si>
  <si>
    <t>Distributed</t>
  </si>
  <si>
    <t>RevE</t>
  </si>
  <si>
    <t>8x350m;</t>
  </si>
  <si>
    <t>8x300m;</t>
  </si>
  <si>
    <t>8x250m;</t>
  </si>
  <si>
    <t>8x200m;</t>
  </si>
  <si>
    <t>8x150m;</t>
  </si>
  <si>
    <t>8x100m;</t>
  </si>
  <si>
    <t>8x75m;</t>
  </si>
  <si>
    <t>8x50m;</t>
  </si>
  <si>
    <t>8x25m;</t>
  </si>
  <si>
    <t>300m</t>
  </si>
  <si>
    <t>Slot</t>
  </si>
  <si>
    <t>Port</t>
  </si>
  <si>
    <t>NDR US</t>
  </si>
  <si>
    <t>NDR DS</t>
  </si>
  <si>
    <t>SNRM US</t>
  </si>
  <si>
    <t>SNRM DS</t>
  </si>
  <si>
    <t>Attain DR US</t>
  </si>
  <si>
    <t>Attain DR DS</t>
  </si>
  <si>
    <t>Transmit Pwr. US</t>
  </si>
  <si>
    <t>Transmit Pwr. DS</t>
  </si>
  <si>
    <t>LATN DS1</t>
  </si>
  <si>
    <t>LATN DS2</t>
  </si>
  <si>
    <t>LATN DS3</t>
  </si>
  <si>
    <t>LATN DS4</t>
  </si>
  <si>
    <t>SATN US0</t>
  </si>
  <si>
    <t>SATN US1</t>
  </si>
  <si>
    <t>SATN US2</t>
  </si>
  <si>
    <t>SATN US3</t>
  </si>
  <si>
    <t>SATN US4</t>
  </si>
  <si>
    <t>SATN DS0</t>
  </si>
  <si>
    <t>SATN DS1</t>
  </si>
  <si>
    <t>SATN DS2</t>
  </si>
  <si>
    <t>SATN DS3</t>
  </si>
  <si>
    <t>SATN DS4</t>
  </si>
  <si>
    <t>SNRM US0</t>
  </si>
  <si>
    <t>SNRM US1</t>
  </si>
  <si>
    <t>SNRM US2</t>
  </si>
  <si>
    <t>SNRM US3</t>
  </si>
  <si>
    <t>SNRM US4</t>
  </si>
  <si>
    <t>SNRM DS0</t>
  </si>
  <si>
    <t>SNRM DS1</t>
  </si>
  <si>
    <t>SNRM DS2</t>
  </si>
  <si>
    <t>SNRM DS3</t>
  </si>
  <si>
    <t>SNRM DS4</t>
  </si>
  <si>
    <t>ACCUM NDR</t>
  </si>
  <si>
    <t>400m</t>
  </si>
  <si>
    <t>500m</t>
  </si>
  <si>
    <t>Length</t>
  </si>
  <si>
    <t>US+DS</t>
  </si>
  <si>
    <t>length</t>
  </si>
  <si>
    <t>MF</t>
  </si>
  <si>
    <t>Mds</t>
  </si>
  <si>
    <t>CE</t>
  </si>
  <si>
    <t>IARBANDS</t>
  </si>
  <si>
    <t>TARSNRMds</t>
  </si>
  <si>
    <t>TARSNRMus</t>
  </si>
  <si>
    <t>MAXSNRMus</t>
  </si>
  <si>
    <t>MINSNRMds</t>
  </si>
  <si>
    <t>MINSNRMus</t>
  </si>
  <si>
    <t>RNRATIOds</t>
  </si>
  <si>
    <t>RNRATIOus</t>
  </si>
  <si>
    <t>FEXT_CANCEL_ENABLEds</t>
  </si>
  <si>
    <t>T</t>
  </si>
  <si>
    <t>FEXT_CANCEL_ENABLEus</t>
  </si>
  <si>
    <t>SRA_ENABLEds</t>
  </si>
  <si>
    <t>SRA_ENABLEus</t>
  </si>
  <si>
    <t>SRA_USNRMds</t>
  </si>
  <si>
    <t>SRA_UTIMEds</t>
  </si>
  <si>
    <t>SRA_USNRMus</t>
  </si>
  <si>
    <t>SRA_UTIMEus</t>
  </si>
  <si>
    <t>SRA_DSNRMds</t>
  </si>
  <si>
    <t>SRA_DTIMEds</t>
  </si>
  <si>
    <t>SRA_DSNRMus</t>
  </si>
  <si>
    <t>SRA_DTIMEus</t>
  </si>
  <si>
    <t>FRA_TIMEds</t>
  </si>
  <si>
    <t>FRA_TIMEus</t>
  </si>
  <si>
    <t>FRA_RTXUCds</t>
  </si>
  <si>
    <t>FRA_RTXUCus</t>
  </si>
  <si>
    <t>FRA_NTONESds</t>
  </si>
  <si>
    <t>FRA_NTONESus</t>
  </si>
  <si>
    <t>FRA_VENDISCds</t>
  </si>
  <si>
    <t>F</t>
  </si>
  <si>
    <t>FRA_VENDISCus</t>
  </si>
  <si>
    <t>INPMIN_SHINEds</t>
  </si>
  <si>
    <t>INPMIN_SHINEus</t>
  </si>
  <si>
    <t>INPMIN_REINds</t>
  </si>
  <si>
    <t>INPMIN_REINus</t>
  </si>
  <si>
    <t>IAT_REINds</t>
  </si>
  <si>
    <t>IAT_REINus</t>
  </si>
  <si>
    <t>SHINERATIOds</t>
  </si>
  <si>
    <t>SHINERATIOus</t>
  </si>
  <si>
    <t>DELAYMAXds</t>
  </si>
  <si>
    <t>DELAYMAXus</t>
  </si>
  <si>
    <t>MAXNDRds</t>
  </si>
  <si>
    <t>MAXNDRus</t>
  </si>
  <si>
    <t>MINETRds</t>
  </si>
  <si>
    <t>MINETRus</t>
  </si>
  <si>
    <t>MAXGDRds</t>
  </si>
  <si>
    <t>MAXGDRus</t>
  </si>
  <si>
    <t>MINGDRds</t>
  </si>
  <si>
    <t>BLUPPERLIMITds</t>
  </si>
  <si>
    <t>BLUPPERLIMITus</t>
  </si>
  <si>
    <t>REINIT_TIME_THRESHOLDds</t>
  </si>
  <si>
    <t>REINIT_TIME_THRESHOLDus</t>
  </si>
  <si>
    <t>LOW_ETR_THRESHOLDds</t>
  </si>
  <si>
    <t>LOW_ETR_THRESHOLDus</t>
  </si>
  <si>
    <t>Cable typ</t>
  </si>
  <si>
    <t>DRAKA RG6</t>
  </si>
  <si>
    <t>DRAKA RG7</t>
  </si>
  <si>
    <t>DRAKA RG8</t>
  </si>
  <si>
    <t>DRAKA RG9</t>
  </si>
  <si>
    <t>Televes RG6</t>
  </si>
  <si>
    <t>Televes RG7</t>
  </si>
  <si>
    <t>Televes RG8</t>
  </si>
  <si>
    <t>Televes RG9</t>
  </si>
  <si>
    <t>Belden RG6</t>
  </si>
  <si>
    <t>Belden RG7</t>
  </si>
  <si>
    <t>Belden RG8</t>
  </si>
  <si>
    <t>Belden RG9</t>
  </si>
  <si>
    <t>Sytronic RG56</t>
  </si>
  <si>
    <t>Sytronic RG57</t>
  </si>
  <si>
    <t>Sytronic RG58</t>
  </si>
  <si>
    <t>Sytronic RG59</t>
  </si>
  <si>
    <t>typ</t>
  </si>
  <si>
    <t>DRAKA RG-6</t>
  </si>
  <si>
    <t>Televes RG-6</t>
  </si>
  <si>
    <t>Belden RG-6</t>
  </si>
  <si>
    <t>Syntronic RG-59</t>
  </si>
  <si>
    <t>dslc sck cli show line config 0</t>
  </si>
  <si>
    <t>&gt;show line config 0</t>
  </si>
  <si>
    <t>CARMASKus[ 0].startScIdx</t>
  </si>
  <si>
    <t>CARMASKus[ 0].stopScIdx</t>
  </si>
  <si>
    <t>PSDMASKds[ 0].subCarrierIndex</t>
  </si>
  <si>
    <t>PSDMASKds[ 0].PSDlevel</t>
  </si>
  <si>
    <t>PSDMASKds[ 1].subCarrierIndex</t>
  </si>
  <si>
    <t>PSDMASKds[ 1].PSDlevel</t>
  </si>
  <si>
    <t>PSDMASKus[ 0].subCarrierIndex</t>
  </si>
  <si>
    <t>PSDMASKus[ 0].PSDlevel</t>
  </si>
  <si>
    <t>PSDMASKus[ 1].subCarrierIndex</t>
  </si>
  <si>
    <t>PSDMASKus[ 1].PSDlevel</t>
  </si>
  <si>
    <t>MAXATPds</t>
  </si>
  <si>
    <t>MAXATPus</t>
  </si>
  <si>
    <t>UPBOPSDA</t>
  </si>
  <si>
    <t>UPBOPSDB</t>
  </si>
  <si>
    <t>UPBOKL</t>
  </si>
  <si>
    <t>UPBOKLF</t>
  </si>
  <si>
    <t>UPBOKLREF</t>
  </si>
  <si>
    <t>RTX_TESTMODEds</t>
  </si>
  <si>
    <t>RTX_TESTMODEus</t>
  </si>
  <si>
    <t>TPS_TESTMODE</t>
  </si>
  <si>
    <t>DRA_TESTMODE</t>
  </si>
  <si>
    <t>LOS_PERSISTENCYds</t>
  </si>
  <si>
    <t>LOS_PERSISTENCYus</t>
  </si>
  <si>
    <t>LOR_PERSISTENCYds</t>
  </si>
  <si>
    <t>LOR_PERSISTENCYus</t>
  </si>
  <si>
    <t>LOM_PERSISTENCYds</t>
  </si>
  <si>
    <t>LOM_PERSISTENCYus</t>
  </si>
  <si>
    <t>CARMASKds[ 0].startScIdx</t>
  </si>
  <si>
    <t>CARMASKds[ 0].stopScIdx</t>
  </si>
  <si>
    <t>ACEMODE</t>
  </si>
  <si>
    <t>ACEP2N2</t>
  </si>
  <si>
    <t>ALLOWACEON</t>
  </si>
  <si>
    <t>DTA_ENABLE</t>
  </si>
  <si>
    <t>DTA_MODE</t>
  </si>
  <si>
    <t>MINMds</t>
  </si>
  <si>
    <t>MAXMds</t>
  </si>
  <si>
    <t>MINMus</t>
  </si>
  <si>
    <t>MAXMus</t>
  </si>
  <si>
    <t>DTA_REPORTING_WIN</t>
  </si>
  <si>
    <t>CARMASKds[ 1].startScIdx</t>
  </si>
  <si>
    <t>CARMASKds[ 1].stopScIdx</t>
  </si>
  <si>
    <t>CARMASKus[ 1].startScIdx</t>
  </si>
  <si>
    <t>CARMASKus[ 1].stopScIdx</t>
  </si>
  <si>
    <t>TARSNRM_RMCds</t>
  </si>
  <si>
    <t>TARSNRM_RMCus</t>
  </si>
  <si>
    <t>MINSNRM_RMCds</t>
  </si>
  <si>
    <t>MINSNRM_RMCus</t>
  </si>
  <si>
    <t>MAXBL_RMCds</t>
  </si>
  <si>
    <t>MAXBL_RMCus</t>
  </si>
  <si>
    <t>UPB0 KLE</t>
  </si>
  <si>
    <t>UPB0 KLE-R</t>
  </si>
  <si>
    <t>SNRM RMC DS</t>
  </si>
  <si>
    <t>SNRM RMC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</si>
</sst>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20" fontId="0" fillId="0" borderId="0" xfId="0" applyNumberForma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14" fontId="0" fillId="0" borderId="0" xfId="0" applyNumberFormat="1"/>
    <xf numFmtId="47" fontId="0" fillId="0" borderId="0" xfId="0" applyNumberFormat="1"/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'10_10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'10_10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'10_10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'10_10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'10_10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'10_10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'10_10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'10_10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'10_10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106816"/>
        <c:axId val="317571072"/>
      </c:barChart>
      <c:catAx>
        <c:axId val="31510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7571072"/>
        <c:crosses val="autoZero"/>
        <c:auto val="1"/>
        <c:lblAlgn val="ctr"/>
        <c:lblOffset val="100"/>
        <c:noMultiLvlLbl val="0"/>
      </c:catAx>
      <c:valAx>
        <c:axId val="317571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5106816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'10_10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'10_10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'10_10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'10_10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'10_10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'10_10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'10_10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'10_10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'10_10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31360"/>
        <c:axId val="40032896"/>
      </c:barChart>
      <c:catAx>
        <c:axId val="4003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032896"/>
        <c:crosses val="autoZero"/>
        <c:auto val="1"/>
        <c:lblAlgn val="ctr"/>
        <c:lblOffset val="100"/>
        <c:noMultiLvlLbl val="0"/>
      </c:catAx>
      <c:valAx>
        <c:axId val="4003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031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'10_10 DTV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'10_10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'10_10 DTV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'10_10 DTV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'10_10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'10_10 DTV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'10_10 DTV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'10_10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'10_10 DTV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08640"/>
        <c:axId val="40210432"/>
      </c:barChart>
      <c:catAx>
        <c:axId val="4020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210432"/>
        <c:crosses val="autoZero"/>
        <c:auto val="1"/>
        <c:lblAlgn val="ctr"/>
        <c:lblOffset val="100"/>
        <c:noMultiLvlLbl val="0"/>
      </c:catAx>
      <c:valAx>
        <c:axId val="4021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208640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'10_10 DTV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'10_10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'10_10 DTV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'10_10 DTV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'10_10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'10_10 DTV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'10_10 DTV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'10_10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'10_10 DTV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24640"/>
        <c:axId val="40226176"/>
      </c:barChart>
      <c:catAx>
        <c:axId val="4022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226176"/>
        <c:crosses val="autoZero"/>
        <c:auto val="1"/>
        <c:lblAlgn val="ctr"/>
        <c:lblOffset val="100"/>
        <c:noMultiLvlLbl val="0"/>
      </c:catAx>
      <c:valAx>
        <c:axId val="40226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224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'25_25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'25_25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'25_25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'25_25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'25_25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'25_25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'25_25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'25_25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'25_25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360960"/>
        <c:axId val="40362752"/>
      </c:barChart>
      <c:catAx>
        <c:axId val="40360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362752"/>
        <c:crosses val="autoZero"/>
        <c:auto val="1"/>
        <c:lblAlgn val="ctr"/>
        <c:lblOffset val="100"/>
        <c:noMultiLvlLbl val="0"/>
      </c:catAx>
      <c:valAx>
        <c:axId val="4036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360960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'25_25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'25_25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'25_25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'25_25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'25_25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'25_25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'25_25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'25_25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'25_25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12128"/>
        <c:axId val="40513920"/>
      </c:barChart>
      <c:catAx>
        <c:axId val="4051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513920"/>
        <c:crosses val="autoZero"/>
        <c:auto val="1"/>
        <c:lblAlgn val="ctr"/>
        <c:lblOffset val="100"/>
        <c:noMultiLvlLbl val="0"/>
      </c:catAx>
      <c:valAx>
        <c:axId val="4051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512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'25_25 DTV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'25_25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'25_25 DTV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'25_25 DTV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'25_25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'25_25 DTV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'25_25 DTV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'25_25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'25_25 DTV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93760"/>
        <c:axId val="40695296"/>
      </c:barChart>
      <c:catAx>
        <c:axId val="4069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695296"/>
        <c:crosses val="autoZero"/>
        <c:auto val="1"/>
        <c:lblAlgn val="ctr"/>
        <c:lblOffset val="100"/>
        <c:noMultiLvlLbl val="0"/>
      </c:catAx>
      <c:valAx>
        <c:axId val="40695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693760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'25_25 DTV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'25_25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'25_25 DTV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'25_25 DTV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'25_25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'25_25 DTV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'25_25 DTV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'25_25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'25_25 DTV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13600"/>
        <c:axId val="40719488"/>
      </c:barChart>
      <c:catAx>
        <c:axId val="4071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719488"/>
        <c:crosses val="autoZero"/>
        <c:auto val="1"/>
        <c:lblAlgn val="ctr"/>
        <c:lblOffset val="100"/>
        <c:noMultiLvlLbl val="0"/>
      </c:catAx>
      <c:valAx>
        <c:axId val="4071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7136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'50_50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'50_50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'50_50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'50_50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'50_50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'50_50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'50_50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'50_50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'50_50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54272"/>
        <c:axId val="40855808"/>
      </c:barChart>
      <c:catAx>
        <c:axId val="40854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855808"/>
        <c:crosses val="autoZero"/>
        <c:auto val="1"/>
        <c:lblAlgn val="ctr"/>
        <c:lblOffset val="100"/>
        <c:noMultiLvlLbl val="0"/>
      </c:catAx>
      <c:valAx>
        <c:axId val="4085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854272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'50_50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'50_50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'50_50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'50_50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'50_50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'50_50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'50_50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'50_50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'50_50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86656"/>
        <c:axId val="40888192"/>
      </c:barChart>
      <c:catAx>
        <c:axId val="4088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888192"/>
        <c:crosses val="autoZero"/>
        <c:auto val="1"/>
        <c:lblAlgn val="ctr"/>
        <c:lblOffset val="100"/>
        <c:noMultiLvlLbl val="0"/>
      </c:catAx>
      <c:valAx>
        <c:axId val="4088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886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'50_50 DTV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'50_50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'50_50 DTV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'50_50 DTV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'50_50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'50_50 DTV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'50_50 DTV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'50_50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'50_50 DTV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002496"/>
        <c:axId val="41004032"/>
      </c:barChart>
      <c:catAx>
        <c:axId val="41002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004032"/>
        <c:crosses val="autoZero"/>
        <c:auto val="1"/>
        <c:lblAlgn val="ctr"/>
        <c:lblOffset val="100"/>
        <c:noMultiLvlLbl val="0"/>
      </c:catAx>
      <c:valAx>
        <c:axId val="41004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002496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'50_50 DTV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'50_50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'50_50 DTV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'50_50 DTV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'50_50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'50_50 DTV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'50_50 DTV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'50_50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'50_50 DTV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092224"/>
        <c:axId val="41093760"/>
      </c:barChart>
      <c:catAx>
        <c:axId val="4109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093760"/>
        <c:crosses val="autoZero"/>
        <c:auto val="1"/>
        <c:lblAlgn val="ctr"/>
        <c:lblOffset val="100"/>
        <c:noMultiLvlLbl val="0"/>
      </c:catAx>
      <c:valAx>
        <c:axId val="4109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092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'75_75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'75_75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'75_75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'75_75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'75_75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'75_75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'75_75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'75_75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'75_75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306368"/>
        <c:axId val="41308160"/>
      </c:barChart>
      <c:catAx>
        <c:axId val="4130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308160"/>
        <c:crosses val="autoZero"/>
        <c:auto val="1"/>
        <c:lblAlgn val="ctr"/>
        <c:lblOffset val="100"/>
        <c:noMultiLvlLbl val="0"/>
      </c:catAx>
      <c:valAx>
        <c:axId val="413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306368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'75_75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'75_75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'75_75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'75_75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'75_75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'75_75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'75_75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'75_75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'75_75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342848"/>
        <c:axId val="41344384"/>
      </c:barChart>
      <c:catAx>
        <c:axId val="41342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344384"/>
        <c:crosses val="autoZero"/>
        <c:auto val="1"/>
        <c:lblAlgn val="ctr"/>
        <c:lblOffset val="100"/>
        <c:noMultiLvlLbl val="0"/>
      </c:catAx>
      <c:valAx>
        <c:axId val="4134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342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'75_75 DTV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'75_75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'75_75 DTV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'75_75 DTV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'75_75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'75_75 DTV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'75_75 DTV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'75_75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'75_75 DTV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75072"/>
        <c:axId val="41476864"/>
      </c:barChart>
      <c:catAx>
        <c:axId val="41475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476864"/>
        <c:crosses val="autoZero"/>
        <c:auto val="1"/>
        <c:lblAlgn val="ctr"/>
        <c:lblOffset val="100"/>
        <c:noMultiLvlLbl val="0"/>
      </c:catAx>
      <c:valAx>
        <c:axId val="4147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475072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'75_75 DTV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'75_75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'75_75 DTV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'75_75 DTV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'75_75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'75_75 DTV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'75_75 DTV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'75_75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'75_75 DTV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91072"/>
        <c:axId val="41496960"/>
      </c:barChart>
      <c:catAx>
        <c:axId val="4149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496960"/>
        <c:crosses val="autoZero"/>
        <c:auto val="1"/>
        <c:lblAlgn val="ctr"/>
        <c:lblOffset val="100"/>
        <c:noMultiLvlLbl val="0"/>
      </c:catAx>
      <c:valAx>
        <c:axId val="4149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491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'100_100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'100_100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'100_100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'100_100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'100_100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'100_100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'100_100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'100_100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'100_100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634432"/>
        <c:axId val="41640320"/>
      </c:barChart>
      <c:catAx>
        <c:axId val="4163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640320"/>
        <c:crosses val="autoZero"/>
        <c:auto val="1"/>
        <c:lblAlgn val="ctr"/>
        <c:lblOffset val="100"/>
        <c:noMultiLvlLbl val="0"/>
      </c:catAx>
      <c:valAx>
        <c:axId val="41640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634432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'100_100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'100_100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'100_100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'100_100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'100_100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'100_100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'100_100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'100_100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'100_100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654528"/>
        <c:axId val="41660416"/>
      </c:barChart>
      <c:catAx>
        <c:axId val="4165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660416"/>
        <c:crosses val="autoZero"/>
        <c:auto val="1"/>
        <c:lblAlgn val="ctr"/>
        <c:lblOffset val="100"/>
        <c:noMultiLvlLbl val="0"/>
      </c:catAx>
      <c:valAx>
        <c:axId val="41660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654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'100_100 DTV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'100_100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'100_100 DTV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'100_100 DTV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'100_100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'100_100 DTV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'100_100 DTV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'100_100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'100_100 DTV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97600"/>
        <c:axId val="42299392"/>
      </c:barChart>
      <c:catAx>
        <c:axId val="4229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299392"/>
        <c:crosses val="autoZero"/>
        <c:auto val="1"/>
        <c:lblAlgn val="ctr"/>
        <c:lblOffset val="100"/>
        <c:noMultiLvlLbl val="0"/>
      </c:catAx>
      <c:valAx>
        <c:axId val="422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297600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'100_100 DTV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'100_100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'100_100 DTV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'100_100 DTV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'100_100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'100_100 DTV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'100_100 DTV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'100_100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'100_100 DTV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313600"/>
        <c:axId val="42315136"/>
      </c:barChart>
      <c:catAx>
        <c:axId val="4231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315136"/>
        <c:crosses val="autoZero"/>
        <c:auto val="1"/>
        <c:lblAlgn val="ctr"/>
        <c:lblOffset val="100"/>
        <c:noMultiLvlLbl val="0"/>
      </c:catAx>
      <c:valAx>
        <c:axId val="4231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3136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'500_100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'500_100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'500_100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'500_100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'500_100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'500_100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'500_100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'500_100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'500_100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295744"/>
        <c:axId val="73297280"/>
      </c:barChart>
      <c:catAx>
        <c:axId val="7329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297280"/>
        <c:crosses val="autoZero"/>
        <c:auto val="1"/>
        <c:lblAlgn val="ctr"/>
        <c:lblOffset val="100"/>
        <c:noMultiLvlLbl val="0"/>
      </c:catAx>
      <c:valAx>
        <c:axId val="7329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3295744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'500_100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'500_100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'500_100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'500_100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'500_100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'500_100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'500_100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'500_100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'500_100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332224"/>
        <c:axId val="73333760"/>
      </c:barChart>
      <c:catAx>
        <c:axId val="7333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333760"/>
        <c:crosses val="autoZero"/>
        <c:auto val="1"/>
        <c:lblAlgn val="ctr"/>
        <c:lblOffset val="100"/>
        <c:noMultiLvlLbl val="0"/>
      </c:catAx>
      <c:valAx>
        <c:axId val="7333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3332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'500_100 DTV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'500_100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'500_100 DTV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'500_100 DTV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'500_100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'500_100 DTV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'500_100 DTV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'500_100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'500_100 DTV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50272"/>
        <c:axId val="85351808"/>
      </c:barChart>
      <c:catAx>
        <c:axId val="8535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351808"/>
        <c:crosses val="autoZero"/>
        <c:auto val="1"/>
        <c:lblAlgn val="ctr"/>
        <c:lblOffset val="100"/>
        <c:noMultiLvlLbl val="0"/>
      </c:catAx>
      <c:valAx>
        <c:axId val="85351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350272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'500_100 DTV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'500_100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'500_100 DTV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'500_100 DTV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'500_100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'500_100 DTV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'500_100 DTV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'500_100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'500_100 DTV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94944"/>
        <c:axId val="85396480"/>
      </c:barChart>
      <c:catAx>
        <c:axId val="85394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396480"/>
        <c:crosses val="autoZero"/>
        <c:auto val="1"/>
        <c:lblAlgn val="ctr"/>
        <c:lblOffset val="100"/>
        <c:noMultiLvlLbl val="0"/>
      </c:catAx>
      <c:valAx>
        <c:axId val="8539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394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'Mds32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'Mds32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'Mds32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'Mds32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'Mds32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'Mds32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'Mds32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'Mds32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'Mds32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001216"/>
        <c:axId val="93002752"/>
      </c:barChart>
      <c:catAx>
        <c:axId val="9300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3002752"/>
        <c:crosses val="autoZero"/>
        <c:auto val="1"/>
        <c:lblAlgn val="ctr"/>
        <c:lblOffset val="100"/>
        <c:noMultiLvlLbl val="0"/>
      </c:catAx>
      <c:valAx>
        <c:axId val="9300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001216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'Mds32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'Mds32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'Mds32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'Mds32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'Mds32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'Mds32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'Mds32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'Mds32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'Mds32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037696"/>
        <c:axId val="93039232"/>
      </c:barChart>
      <c:catAx>
        <c:axId val="9303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3039232"/>
        <c:crosses val="autoZero"/>
        <c:auto val="1"/>
        <c:lblAlgn val="ctr"/>
        <c:lblOffset val="100"/>
        <c:noMultiLvlLbl val="0"/>
      </c:catAx>
      <c:valAx>
        <c:axId val="93039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037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'Mds32 DTV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'Mds32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'Mds32 DTV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'Mds32 DTV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'Mds32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'Mds32 DTV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'Mds32 DTV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'Mds32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'Mds32 DTV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431552"/>
        <c:axId val="99433088"/>
      </c:barChart>
      <c:catAx>
        <c:axId val="9943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433088"/>
        <c:crosses val="autoZero"/>
        <c:auto val="1"/>
        <c:lblAlgn val="ctr"/>
        <c:lblOffset val="100"/>
        <c:noMultiLvlLbl val="0"/>
      </c:catAx>
      <c:valAx>
        <c:axId val="99433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431552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'Mds32 DTV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'Mds32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'Mds32 DTV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'Mds32 DTV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'Mds32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'Mds32 DTV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'Mds32 DTV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'Mds32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'Mds32 DTV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476224"/>
        <c:axId val="99477760"/>
      </c:barChart>
      <c:catAx>
        <c:axId val="99476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477760"/>
        <c:crosses val="autoZero"/>
        <c:auto val="1"/>
        <c:lblAlgn val="ctr"/>
        <c:lblOffset val="100"/>
        <c:noMultiLvlLbl val="0"/>
      </c:catAx>
      <c:valAx>
        <c:axId val="99477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47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'Mds29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'Mds29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'Mds29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'Mds29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'Mds29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'Mds29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'Mds29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'Mds29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'Mds29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676544"/>
        <c:axId val="99678080"/>
      </c:barChart>
      <c:catAx>
        <c:axId val="99676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678080"/>
        <c:crosses val="autoZero"/>
        <c:auto val="1"/>
        <c:lblAlgn val="ctr"/>
        <c:lblOffset val="100"/>
        <c:noMultiLvlLbl val="0"/>
      </c:catAx>
      <c:valAx>
        <c:axId val="9967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676544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'Mds29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'Mds29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'Mds29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'Mds29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'Mds29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'Mds29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'Mds29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'Mds29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'Mds29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741120"/>
        <c:axId val="100742656"/>
      </c:barChart>
      <c:catAx>
        <c:axId val="10074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742656"/>
        <c:crosses val="autoZero"/>
        <c:auto val="1"/>
        <c:lblAlgn val="ctr"/>
        <c:lblOffset val="100"/>
        <c:noMultiLvlLbl val="0"/>
      </c:catAx>
      <c:valAx>
        <c:axId val="10074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0741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'Mds29 DTV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'Mds29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'Mds29 DTV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'Mds29 DTV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'Mds29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'Mds29 DTV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'Mds29 DTV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'Mds29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'Mds29 DTV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483712"/>
        <c:axId val="106485248"/>
      </c:barChart>
      <c:catAx>
        <c:axId val="10648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485248"/>
        <c:crosses val="autoZero"/>
        <c:auto val="1"/>
        <c:lblAlgn val="ctr"/>
        <c:lblOffset val="100"/>
        <c:noMultiLvlLbl val="0"/>
      </c:catAx>
      <c:valAx>
        <c:axId val="10648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483712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'Mds29 DTV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'Mds29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'Mds29 DTV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'Mds29 DTV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'Mds29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'Mds29 DTV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'Mds29 DTV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'Mds29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'Mds29 DTV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585472"/>
        <c:axId val="106595456"/>
      </c:barChart>
      <c:catAx>
        <c:axId val="10658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595456"/>
        <c:crosses val="autoZero"/>
        <c:auto val="1"/>
        <c:lblAlgn val="ctr"/>
        <c:lblOffset val="100"/>
        <c:noMultiLvlLbl val="0"/>
      </c:catAx>
      <c:valAx>
        <c:axId val="10659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585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'Mds28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'Mds28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'Mds28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'Mds28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'Mds28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'Mds28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'Mds28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'Mds28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'Mds28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180032"/>
        <c:axId val="107181568"/>
      </c:barChart>
      <c:catAx>
        <c:axId val="10718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181568"/>
        <c:crosses val="autoZero"/>
        <c:auto val="1"/>
        <c:lblAlgn val="ctr"/>
        <c:lblOffset val="100"/>
        <c:noMultiLvlLbl val="0"/>
      </c:catAx>
      <c:valAx>
        <c:axId val="107181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180032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'Mds28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'Mds28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'Mds28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'Mds28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'Mds28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'Mds28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'Mds28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'Mds28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'Mds28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220352"/>
        <c:axId val="107250816"/>
      </c:barChart>
      <c:catAx>
        <c:axId val="10722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250816"/>
        <c:crosses val="autoZero"/>
        <c:auto val="1"/>
        <c:lblAlgn val="ctr"/>
        <c:lblOffset val="100"/>
        <c:noMultiLvlLbl val="0"/>
      </c:catAx>
      <c:valAx>
        <c:axId val="1072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220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'Mds28 DTV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'Mds28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'Mds28 DTV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'Mds28 DTV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'Mds28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'Mds28 DTV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'Mds28 DTV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'Mds28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'Mds28 DTV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396480"/>
        <c:axId val="107414656"/>
      </c:barChart>
      <c:catAx>
        <c:axId val="10739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414656"/>
        <c:crosses val="autoZero"/>
        <c:auto val="1"/>
        <c:lblAlgn val="ctr"/>
        <c:lblOffset val="100"/>
        <c:noMultiLvlLbl val="0"/>
      </c:catAx>
      <c:valAx>
        <c:axId val="10741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396480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'Mds28 DTV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'Mds28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'Mds28 DTV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'Mds28 DTV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'Mds28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'Mds28 DTV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'Mds28 DTV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'Mds28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'Mds28 DTV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32960"/>
        <c:axId val="107434752"/>
      </c:barChart>
      <c:catAx>
        <c:axId val="10743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434752"/>
        <c:crosses val="autoZero"/>
        <c:auto val="1"/>
        <c:lblAlgn val="ctr"/>
        <c:lblOffset val="100"/>
        <c:noMultiLvlLbl val="0"/>
      </c:catAx>
      <c:valAx>
        <c:axId val="10743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432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'Mds18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'Mds18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'Mds18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'Mds18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'Mds18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'Mds18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'Mds18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'Mds18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'Mds18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850752"/>
        <c:axId val="107852544"/>
      </c:barChart>
      <c:catAx>
        <c:axId val="10785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852544"/>
        <c:crosses val="autoZero"/>
        <c:auto val="1"/>
        <c:lblAlgn val="ctr"/>
        <c:lblOffset val="100"/>
        <c:noMultiLvlLbl val="0"/>
      </c:catAx>
      <c:valAx>
        <c:axId val="10785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850752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'Mds18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'Mds18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'Mds18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'Mds18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'Mds18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'Mds18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'Mds18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'Mds18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'Mds18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907712"/>
        <c:axId val="107929984"/>
      </c:barChart>
      <c:catAx>
        <c:axId val="107907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929984"/>
        <c:crosses val="autoZero"/>
        <c:auto val="1"/>
        <c:lblAlgn val="ctr"/>
        <c:lblOffset val="100"/>
        <c:noMultiLvlLbl val="0"/>
      </c:catAx>
      <c:valAx>
        <c:axId val="107929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907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'Mds18 DTV distr'!$D$5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'Mds18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'Mds18 DTV distr'!$E$5:$T$5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'Mds18 DTV distr'!$D$6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'Mds18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'Mds18 DTV distr'!$E$6:$T$6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'Mds18 DTV distr'!$D$7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'Mds18 DTV distr'!$E$2:$T$2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'Mds18 DTV distr'!$E$7:$T$7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772608"/>
        <c:axId val="114815360"/>
      </c:barChart>
      <c:catAx>
        <c:axId val="11477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815360"/>
        <c:crosses val="autoZero"/>
        <c:auto val="1"/>
        <c:lblAlgn val="ctr"/>
        <c:lblOffset val="100"/>
        <c:noMultiLvlLbl val="0"/>
      </c:catAx>
      <c:valAx>
        <c:axId val="11481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772608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'Mds18 DTV distr'!$Y$5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'Mds18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'Mds18 DTV distr'!$Z$5:$AO$5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3"/>
          <c:order val="1"/>
          <c:tx>
            <c:strRef>
              <c:f>'Mds18 DTV distr'!$Y$6</c:f>
              <c:strCache>
                <c:ptCount val="1"/>
                <c:pt idx="0">
                  <c:v>DS</c:v>
                </c:pt>
              </c:strCache>
            </c:strRef>
          </c:tx>
          <c:invertIfNegative val="0"/>
          <c:cat>
            <c:numRef>
              <c:f>'Mds18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'Mds18 DTV distr'!$Z$6:$AO$6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2"/>
          <c:tx>
            <c:strRef>
              <c:f>'Mds18 DTV distr'!$Y$7</c:f>
              <c:strCache>
                <c:ptCount val="1"/>
                <c:pt idx="0">
                  <c:v>US+DS</c:v>
                </c:pt>
              </c:strCache>
            </c:strRef>
          </c:tx>
          <c:invertIfNegative val="0"/>
          <c:cat>
            <c:numRef>
              <c:f>'Mds18 DTV distr'!$Z$2:$AO$2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'Mds18 DTV distr'!$Z$7:$AO$7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862336"/>
        <c:axId val="114913280"/>
      </c:barChart>
      <c:catAx>
        <c:axId val="11486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913280"/>
        <c:crosses val="autoZero"/>
        <c:auto val="1"/>
        <c:lblAlgn val="ctr"/>
        <c:lblOffset val="100"/>
        <c:noMultiLvlLbl val="0"/>
      </c:catAx>
      <c:valAx>
        <c:axId val="11491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862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0.00062</cdr:x>
      <cdr:y>0.0551</cdr:y>
    </cdr:from>
    <cdr:to>
      <cdr:x>0.04807</cdr:x>
      <cdr:y>0.08839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805" y="405493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0.00341</cdr:x>
      <cdr:y>0.06053</cdr:y>
    </cdr:from>
    <cdr:to>
      <cdr:x>0.05086</cdr:x>
      <cdr:y>0.09381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37193" y="445407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0.06977</cdr:y>
    </cdr:from>
    <cdr:to>
      <cdr:x>0.0521</cdr:x>
      <cdr:y>0.10306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513443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0.00591</cdr:x>
      <cdr:y>0.08272</cdr:y>
    </cdr:from>
    <cdr:to>
      <cdr:x>0.05335</cdr:x>
      <cdr:y>0.116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407" y="608693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0.06423</cdr:y>
    </cdr:from>
    <cdr:to>
      <cdr:x>0.0521</cdr:x>
      <cdr:y>0.09751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472622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0.06792</cdr:y>
    </cdr:from>
    <cdr:to>
      <cdr:x>0.0521</cdr:x>
      <cdr:y>0.10121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499835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0.07902</cdr:y>
    </cdr:from>
    <cdr:to>
      <cdr:x>0.0521</cdr:x>
      <cdr:y>0.1123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581479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0.08272</cdr:y>
    </cdr:from>
    <cdr:to>
      <cdr:x>0.0521</cdr:x>
      <cdr:y>0.116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608693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0.06792</cdr:y>
    </cdr:from>
    <cdr:to>
      <cdr:x>0.0521</cdr:x>
      <cdr:y>0.10121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499836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0.06792</cdr:y>
    </cdr:from>
    <cdr:to>
      <cdr:x>0.0521</cdr:x>
      <cdr:y>0.10121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499836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0.05313</cdr:y>
    </cdr:from>
    <cdr:to>
      <cdr:x>0.0521</cdr:x>
      <cdr:y>0.08642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390978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0.04204</cdr:y>
    </cdr:from>
    <cdr:to>
      <cdr:x>0.0521</cdr:x>
      <cdr:y>0.07532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309336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0.05313</cdr:y>
    </cdr:from>
    <cdr:to>
      <cdr:x>0.0521</cdr:x>
      <cdr:y>0.08642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390978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0.05313</cdr:y>
    </cdr:from>
    <cdr:to>
      <cdr:x>0.0521</cdr:x>
      <cdr:y>0.08642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390978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0.05313</cdr:y>
    </cdr:from>
    <cdr:to>
      <cdr:x>0.0521</cdr:x>
      <cdr:y>0.08642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390978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0.05313</cdr:y>
    </cdr:from>
    <cdr:to>
      <cdr:x>0.0521</cdr:x>
      <cdr:y>0.08642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390978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0.05313</cdr:y>
    </cdr:from>
    <cdr:to>
      <cdr:x>0.0521</cdr:x>
      <cdr:y>0.08642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390978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0.05313</cdr:y>
    </cdr:from>
    <cdr:to>
      <cdr:x>0.0521</cdr:x>
      <cdr:y>0.08642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390978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0.05313</cdr:y>
    </cdr:from>
    <cdr:to>
      <cdr:x>0.0521</cdr:x>
      <cdr:y>0.08642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390978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578302</xdr:colOff>
      <xdr:row>9</xdr:row>
      <xdr:rowOff>179614</xdr:rowOff>
    </xdr:from>
    <xdr:to>
      <xdr:col>20</xdr:col>
      <xdr:colOff>455221</xdr:colOff>
      <xdr:row>48</xdr:row>
      <xdr:rowOff>108858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9</xdr:row>
      <xdr:rowOff>121228</xdr:rowOff>
    </xdr:from>
    <xdr:to>
      <xdr:col>41</xdr:col>
      <xdr:colOff>483056</xdr:colOff>
      <xdr:row>48</xdr:row>
      <xdr:rowOff>50472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  <cdr:relSizeAnchor xmlns:cdr="http://schemas.openxmlformats.org/drawingml/2006/chartDrawing">
    <cdr:from>
      <cdr:x>0.00466</cdr:x>
      <cdr:y>0.05313</cdr:y>
    </cdr:from>
    <cdr:to>
      <cdr:x>0.0521</cdr:x>
      <cdr:y>0.08642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390978"/>
          <a:ext cx="517071" cy="244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(kbps)</a:t>
          </a: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0.92656</cdr:x>
      <cdr:y>0.96487</cdr:y>
    </cdr:from>
    <cdr:to>
      <cdr:x>0.98689</cdr:x>
      <cdr:y>1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9613448" y="7100209"/>
          <a:ext cx="625928" cy="25853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100"/>
            <a:t>Line</a:t>
          </a:r>
        </a:p>
      </cdr:txBody>
    </cdr:sp>
  </cdr:relSizeAnchor>
</c:userShapes>
</file>

<file path=xl/queryTables/queryTable1.xml><?xml version="1.0" encoding="utf-8"?>
<queryTable xmlns="http://schemas.openxmlformats.org/spreadsheetml/2006/main" name="line_status_3" growShrinkType="overwriteClear" adjustColumnWidth="0" connectionId="3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line_status_1" growShrinkType="overwriteClear" adjustColumnWidth="0" connectionId="6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ine_status" growShrinkType="overwriteClear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line_status_2" growShrinkType="overwriteClear" adjustColumnWidth="0" connectionId="1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line_status_3" growShrinkType="overwriteClear" adjustColumnWidth="0" connectionId="4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ine_status_1" growShrinkType="overwriteClear" adjustColumnWidth="0" connectionId="6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line_status" growShrinkType="overwriteClear" adjustColumnWidth="0" connectionId="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line_status_2" growShrinkType="overwriteClear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line_status_3" growShrinkType="overwriteClear" adjustColumnWidth="0" connectionId="4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line_status_1" growShrinkType="overwriteClear" adjustColumnWidth="0" connectionId="6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line_status" growShrinkType="overwriteClear" adjustColumnWidth="0" connectionId="2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line_status_2" growShrinkType="overwriteClear" adjustColumnWidth="0" connectionId="2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line_status_3" growShrinkType="overwriteClear" adjustColumnWidth="0" connectionId="4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line_status_1" growShrinkType="overwriteClear" adjustColumnWidth="0" connectionId="6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line_status" growShrinkType="overwriteClear" adjustColumnWidth="0" connectionId="4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line_status_2" growShrinkType="overwriteClear" adjustColumnWidth="0" connectionId="2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line_status_3" growShrinkType="overwriteClear" adjustColumnWidth="0" connectionId="4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line_status_1" growShrinkType="overwriteClear" adjustColumnWidth="0" connectionId="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line_status" growShrinkType="overwriteClear" adjustColumnWidth="0" connectionId="6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line_status_2" growShrinkType="overwriteClear" adjustColumnWidth="0" connectionId="2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line_status_3" growShrinkType="overwriteClear" adjustColumnWidth="0" connectionId="4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line_status_1" growShrinkType="overwriteClear" adjustColumnWidth="0" connectionId="1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line_status" growShrinkType="overwriteClear" adjustColumnWidth="0" connectionId="6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line_status_2" growShrinkType="overwriteClear" adjustColumnWidth="0" connectionId="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line_status_3" growShrinkType="overwriteClear" adjustColumnWidth="0" connectionId="4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line_status_1" growShrinkType="overwriteClear" adjustColumnWidth="0" connectionId="6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line_status" growShrinkType="overwriteClear" adjustColumnWidth="0" connectionId="1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line_status_2" growShrinkType="overwriteClear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line_status_3" growShrinkType="overwriteClear" adjustColumnWidth="0" connectionId="4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line_status_1" growShrinkType="overwriteClear" adjustColumnWidth="0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line_status" growShrinkType="overwriteClear" adjustColumnWidth="0" connectionId="1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line_status_2" growShrinkType="overwriteClear" adjustColumnWidth="0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line_status" growShrinkType="overwriteClear" adjustColumnWidth="0" connectionId="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line_status_2" growShrinkType="overwriteClear" adjustColumnWidth="0" connectionId="4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line_status_1" growShrinkType="overwriteClear" adjustColumnWidth="0" connectionId="6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line_status" growShrinkType="overwriteClear" adjustColumnWidth="0" connectionId="2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line_status_2" growShrinkType="overwriteClear" adjustColumnWidth="0" connectionId="4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line_status_1" growShrinkType="overwriteClear" adjustColumnWidth="0" connectionId="7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line_status" growShrinkType="overwriteClear" adjustColumnWidth="0" connectionId="2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line_status_2" growShrinkType="overwriteClear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line_status_1" growShrinkType="overwriteClear" adjustColumnWidth="0" connectionId="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line_status" growShrinkType="overwriteClear" adjustColumnWidth="0" connectionId="3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line_status_2" growShrinkType="overwriteClear" adjustColumnWidth="0" connectionId="5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line_status_1" growShrinkType="overwriteClear" adjustColumnWidth="0" connectionId="1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line_status" growShrinkType="overwriteClear" adjustColumnWidth="0" connectionId="3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line_status_2" growShrinkType="overwriteClear" adjustColumnWidth="0" connectionId="5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line_status_1" growShrinkType="overwriteClear" adjustColumnWidth="0" connectionId="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line_status" growShrinkType="overwriteClear" adjustColumnWidt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line_status_1" growShrinkType="overwriteClear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line_status_2" growShrinkType="overwriteClear" adjustColumnWidth="0" connectionId="5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line_status" growShrinkType="overwriteClear" adjustColumnWidth="0" connectionId="3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line_status_1" growShrinkType="overwriteClear" adjustColumnWidth="0" connectionId="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line_status_2" growShrinkType="overwriteClear" adjustColumnWidth="0" connectionId="5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line_status" growShrinkType="overwriteClear" adjustColumnWidth="0" connectionId="3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line_status_2" growShrinkType="overwriteClear" adjustColumnWidth="0" connectionId="5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line_status_1" growShrinkType="overwriteClear" adjustColumnWidth="0" connectionId="1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line_status" growShrinkType="overwriteClear" adjustColumnWidth="0" connectionId="3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line_status_2" growShrinkType="overwriteClear" adjustColumnWidth="0" connectionId="5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line_status_1" growShrinkType="overwriteClear" adjustColumnWidth="0" connectionId="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line_status" growShrinkType="overwriteClear" adjustColumnWidth="0" connectionId="3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line_status_1" growShrinkType="overwriteClear" adjustColumnWidth="0" connectionId="1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line_status_2" growShrinkType="overwriteClear" adjustColumnWidth="0" connectionId="5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line_status" growShrinkType="overwriteClear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line_status_1" growShrinkType="overwriteClear" adjustColumnWidth="0" connectionId="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line_status_2" growShrinkType="overwriteClear" adjustColumnWidth="0" connectionId="5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line_status" growShrinkType="overwriteClear" adjustColumnWidth="0" connectionId="3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line_status_2" growShrinkType="overwriteClear" adjustColumnWidth="0" connectionId="5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line_status_1" growShrinkType="overwriteClear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8.xml"/><Relationship Id="rId5" Type="http://schemas.openxmlformats.org/officeDocument/2006/relationships/queryTable" Target="../queryTables/queryTable7.xml"/><Relationship Id="rId4" Type="http://schemas.openxmlformats.org/officeDocument/2006/relationships/queryTable" Target="../queryTables/query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2.xm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16.xml"/><Relationship Id="rId5" Type="http://schemas.openxmlformats.org/officeDocument/2006/relationships/queryTable" Target="../queryTables/queryTable15.xml"/><Relationship Id="rId4" Type="http://schemas.openxmlformats.org/officeDocument/2006/relationships/queryTable" Target="../queryTables/queryTable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6.bin"/><Relationship Id="rId6" Type="http://schemas.openxmlformats.org/officeDocument/2006/relationships/queryTable" Target="../queryTables/queryTable24.xml"/><Relationship Id="rId5" Type="http://schemas.openxmlformats.org/officeDocument/2006/relationships/queryTable" Target="../queryTables/queryTable23.xml"/><Relationship Id="rId4" Type="http://schemas.openxmlformats.org/officeDocument/2006/relationships/queryTable" Target="../queryTables/queryTable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queryTable" Target="../queryTables/query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8.bin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queryTable" Target="../queryTables/queryTable3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35.xml"/><Relationship Id="rId4" Type="http://schemas.openxmlformats.org/officeDocument/2006/relationships/queryTable" Target="../queryTables/queryTable3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59.xml"/><Relationship Id="rId4" Type="http://schemas.openxmlformats.org/officeDocument/2006/relationships/queryTable" Target="../queryTables/queryTable5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65.xml"/><Relationship Id="rId4" Type="http://schemas.openxmlformats.org/officeDocument/2006/relationships/queryTable" Target="../queryTables/queryTable6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20.bin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U71"/>
  <sheetViews>
    <sheetView topLeftCell="B19" zoomScale="70" zoomScaleNormal="70" workbookViewId="0">
      <selection activeCell="AP6" sqref="AP6"/>
    </sheetView>
  </sheetViews>
  <sheetFormatPr defaultRowHeight="15" x14ac:dyDescent="0.25"/>
  <cols>
    <col min="2" max="2" width="12" customWidth="1"/>
  </cols>
  <sheetData>
    <row r="2" spans="4:47" x14ac:dyDescent="0.25">
      <c r="D2" s="9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9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11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11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9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11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9" t="s">
        <v>4</v>
      </c>
      <c r="E5" s="9">
        <f>$F52</f>
        <v>0</v>
      </c>
      <c r="F5" s="9">
        <f>$F53</f>
        <v>0</v>
      </c>
      <c r="G5" s="9">
        <f>$F54</f>
        <v>0</v>
      </c>
      <c r="H5" s="9">
        <f>$F55</f>
        <v>0</v>
      </c>
      <c r="I5" s="9">
        <f>$F56</f>
        <v>0</v>
      </c>
      <c r="J5" s="9">
        <f>$F57</f>
        <v>0</v>
      </c>
      <c r="K5" s="9">
        <f>$F58</f>
        <v>0</v>
      </c>
      <c r="L5" s="9">
        <f>$F59</f>
        <v>0</v>
      </c>
      <c r="M5" s="9">
        <f>$F60</f>
        <v>0</v>
      </c>
      <c r="N5" s="9">
        <f>$F61</f>
        <v>0</v>
      </c>
      <c r="O5" s="9">
        <f>$F62</f>
        <v>0</v>
      </c>
      <c r="P5" s="9">
        <f>$F63</f>
        <v>0</v>
      </c>
      <c r="Q5" s="9">
        <f>$F64</f>
        <v>0</v>
      </c>
      <c r="R5" s="9">
        <f>$F65</f>
        <v>0</v>
      </c>
      <c r="S5" s="9">
        <f>$F66</f>
        <v>0</v>
      </c>
      <c r="T5" s="9">
        <f>$F67</f>
        <v>0</v>
      </c>
      <c r="Y5" s="9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9" t="s">
        <v>5</v>
      </c>
      <c r="E6" s="9">
        <f>$G52</f>
        <v>0</v>
      </c>
      <c r="F6" s="9">
        <f>$G53</f>
        <v>0</v>
      </c>
      <c r="G6" s="9">
        <f>$G54</f>
        <v>0</v>
      </c>
      <c r="H6" s="9">
        <f>$G55</f>
        <v>0</v>
      </c>
      <c r="I6" s="9">
        <f>$G56</f>
        <v>0</v>
      </c>
      <c r="J6" s="9">
        <f>$G57</f>
        <v>0</v>
      </c>
      <c r="K6" s="9">
        <f>$G58</f>
        <v>0</v>
      </c>
      <c r="L6" s="9">
        <f>$G59</f>
        <v>0</v>
      </c>
      <c r="M6" s="9">
        <f>$G60</f>
        <v>0</v>
      </c>
      <c r="N6" s="9">
        <f>$G61</f>
        <v>0</v>
      </c>
      <c r="O6" s="9">
        <f>$G62</f>
        <v>0</v>
      </c>
      <c r="P6" s="9">
        <f>$G63</f>
        <v>0</v>
      </c>
      <c r="Q6" s="9">
        <f>$G64</f>
        <v>0</v>
      </c>
      <c r="R6" s="9">
        <f>$G65</f>
        <v>0</v>
      </c>
      <c r="S6" s="9">
        <f>$G66</f>
        <v>0</v>
      </c>
      <c r="T6" s="9">
        <f>$G67</f>
        <v>0</v>
      </c>
      <c r="Y6" s="9" t="s">
        <v>5</v>
      </c>
      <c r="Z6" s="9">
        <f>$G72</f>
        <v>0</v>
      </c>
      <c r="AA6" s="9">
        <f>$G73</f>
        <v>0</v>
      </c>
      <c r="AB6" s="9">
        <f>$G74</f>
        <v>0</v>
      </c>
      <c r="AC6" s="9">
        <f>$G75</f>
        <v>0</v>
      </c>
      <c r="AD6" s="9">
        <f>$G76</f>
        <v>0</v>
      </c>
      <c r="AE6" s="9">
        <f>$G77</f>
        <v>0</v>
      </c>
      <c r="AF6" s="9">
        <f>$G78</f>
        <v>0</v>
      </c>
      <c r="AG6" s="9">
        <f>$G79</f>
        <v>0</v>
      </c>
      <c r="AH6" s="9">
        <f>$G80</f>
        <v>0</v>
      </c>
      <c r="AI6" s="9">
        <f>$G81</f>
        <v>0</v>
      </c>
      <c r="AJ6" s="9">
        <f>$G82</f>
        <v>0</v>
      </c>
      <c r="AK6" s="9">
        <f>$G83</f>
        <v>0</v>
      </c>
      <c r="AL6" s="9">
        <f>$G84</f>
        <v>0</v>
      </c>
      <c r="AM6" s="9">
        <f>$G85</f>
        <v>0</v>
      </c>
      <c r="AN6" s="9">
        <f>$G86</f>
        <v>0</v>
      </c>
      <c r="AO6" s="9">
        <f>$G87</f>
        <v>0</v>
      </c>
    </row>
    <row r="7" spans="4:47" x14ac:dyDescent="0.25">
      <c r="D7" s="9" t="s">
        <v>67</v>
      </c>
      <c r="E7" s="10">
        <f>E5+E6</f>
        <v>0</v>
      </c>
      <c r="F7" s="10">
        <f t="shared" ref="F7:T7" si="0">F5+F6</f>
        <v>0</v>
      </c>
      <c r="G7" s="10">
        <f t="shared" si="0"/>
        <v>0</v>
      </c>
      <c r="H7" s="10">
        <f t="shared" si="0"/>
        <v>0</v>
      </c>
      <c r="I7" s="10">
        <f t="shared" si="0"/>
        <v>0</v>
      </c>
      <c r="J7" s="10">
        <f t="shared" si="0"/>
        <v>0</v>
      </c>
      <c r="K7" s="10">
        <f t="shared" si="0"/>
        <v>0</v>
      </c>
      <c r="L7" s="10">
        <f t="shared" si="0"/>
        <v>0</v>
      </c>
      <c r="M7" s="10">
        <f t="shared" si="0"/>
        <v>0</v>
      </c>
      <c r="N7" s="10">
        <f t="shared" si="0"/>
        <v>0</v>
      </c>
      <c r="O7" s="10">
        <f t="shared" si="0"/>
        <v>0</v>
      </c>
      <c r="P7" s="10">
        <f t="shared" si="0"/>
        <v>0</v>
      </c>
      <c r="Q7" s="10">
        <f t="shared" si="0"/>
        <v>0</v>
      </c>
      <c r="R7" s="10">
        <f t="shared" si="0"/>
        <v>0</v>
      </c>
      <c r="S7" s="10">
        <f t="shared" si="0"/>
        <v>0</v>
      </c>
      <c r="T7" s="10">
        <f t="shared" si="0"/>
        <v>0</v>
      </c>
      <c r="Y7" s="9" t="s">
        <v>67</v>
      </c>
      <c r="Z7" s="10">
        <f>$C72</f>
        <v>0</v>
      </c>
      <c r="AA7" s="10">
        <f>$C73</f>
        <v>0</v>
      </c>
      <c r="AB7" s="10">
        <f>$C74</f>
        <v>0</v>
      </c>
      <c r="AC7" s="10">
        <f>$C75</f>
        <v>0</v>
      </c>
      <c r="AD7" s="10">
        <f>$C76</f>
        <v>0</v>
      </c>
      <c r="AE7" s="10">
        <f>$C77</f>
        <v>0</v>
      </c>
      <c r="AF7" s="10">
        <f>$C78</f>
        <v>0</v>
      </c>
      <c r="AG7" s="10">
        <f>$C79</f>
        <v>0</v>
      </c>
      <c r="AH7" s="10">
        <f>$C80</f>
        <v>0</v>
      </c>
      <c r="AI7" s="10">
        <f>$C81</f>
        <v>0</v>
      </c>
      <c r="AJ7" s="10">
        <f>$C82</f>
        <v>0</v>
      </c>
      <c r="AK7" s="10">
        <f>$C83</f>
        <v>0</v>
      </c>
      <c r="AL7" s="10">
        <f>$C84</f>
        <v>0</v>
      </c>
      <c r="AM7" s="10">
        <f>$C85</f>
        <v>0</v>
      </c>
      <c r="AN7" s="10">
        <f>$C86</f>
        <v>0</v>
      </c>
      <c r="AO7" s="10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23" t="s">
        <v>33</v>
      </c>
      <c r="Z8" s="24">
        <f>$H72/10</f>
        <v>0</v>
      </c>
      <c r="AA8" s="24">
        <f>$H73/10</f>
        <v>0</v>
      </c>
      <c r="AB8" s="24">
        <f>$H74/10</f>
        <v>0</v>
      </c>
      <c r="AC8" s="24">
        <f>$H75/10</f>
        <v>0</v>
      </c>
      <c r="AD8" s="24">
        <f>$H76/10</f>
        <v>0</v>
      </c>
      <c r="AE8" s="24">
        <f>$H77/10</f>
        <v>0</v>
      </c>
      <c r="AF8" s="24">
        <f>$H78/10</f>
        <v>0</v>
      </c>
      <c r="AG8" s="24">
        <f>$H79/10</f>
        <v>0</v>
      </c>
      <c r="AH8" s="24">
        <f>$H80/10</f>
        <v>0</v>
      </c>
      <c r="AI8" s="24">
        <f>$H81/10</f>
        <v>0</v>
      </c>
      <c r="AJ8" s="24">
        <f>$H82/10</f>
        <v>0</v>
      </c>
      <c r="AK8" s="24">
        <f>$H83/10</f>
        <v>0</v>
      </c>
      <c r="AL8" s="24">
        <f>$H84/10</f>
        <v>0</v>
      </c>
      <c r="AM8" s="24">
        <f>$H85/10</f>
        <v>0</v>
      </c>
      <c r="AN8" s="24">
        <f>$H86/10</f>
        <v>0</v>
      </c>
      <c r="AO8" s="24">
        <f>$H87/10</f>
        <v>0</v>
      </c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23" t="s">
        <v>33</v>
      </c>
      <c r="Z9" s="24">
        <f>$H72/10</f>
        <v>0</v>
      </c>
      <c r="AA9" s="24">
        <f>$H73/10</f>
        <v>0</v>
      </c>
      <c r="AB9" s="24">
        <f>$H74/10</f>
        <v>0</v>
      </c>
      <c r="AC9" s="24">
        <f>$H75/10</f>
        <v>0</v>
      </c>
      <c r="AD9" s="24">
        <f>$H76/10</f>
        <v>0</v>
      </c>
      <c r="AE9" s="24">
        <f>$H77/10</f>
        <v>0</v>
      </c>
      <c r="AF9" s="24">
        <f>$H78/10</f>
        <v>0</v>
      </c>
      <c r="AG9" s="24">
        <f>$H79/10</f>
        <v>0</v>
      </c>
      <c r="AH9" s="24">
        <f>$H80/10</f>
        <v>0</v>
      </c>
      <c r="AI9" s="24">
        <f>$H81/10</f>
        <v>0</v>
      </c>
      <c r="AJ9" s="24">
        <f>$H82/10</f>
        <v>0</v>
      </c>
      <c r="AK9" s="24">
        <f>$H83/10</f>
        <v>0</v>
      </c>
      <c r="AL9" s="24">
        <f>$H84/10</f>
        <v>0</v>
      </c>
      <c r="AM9" s="24">
        <f>$H85/10</f>
        <v>0</v>
      </c>
      <c r="AN9" s="24">
        <f>$H86/10</f>
        <v>0</v>
      </c>
      <c r="AO9" s="24">
        <f>$H87/10</f>
        <v>0</v>
      </c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E3:H3"/>
    <mergeCell ref="I3:L3"/>
    <mergeCell ref="M3:P3"/>
    <mergeCell ref="Q3:T3"/>
    <mergeCell ref="AN4:AO4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U71"/>
  <sheetViews>
    <sheetView tabSelected="1" zoomScale="70" zoomScaleNormal="70" workbookViewId="0">
      <selection activeCell="D52" sqref="D52:T68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19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19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19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0">
        <f>E5+E6</f>
        <v>0</v>
      </c>
      <c r="F7" s="20">
        <f t="shared" ref="F7:T7" si="0">F5+F6</f>
        <v>0</v>
      </c>
      <c r="G7" s="20">
        <f t="shared" si="0"/>
        <v>0</v>
      </c>
      <c r="H7" s="20">
        <f t="shared" si="0"/>
        <v>0</v>
      </c>
      <c r="I7" s="20">
        <f t="shared" si="0"/>
        <v>0</v>
      </c>
      <c r="J7" s="20">
        <f t="shared" si="0"/>
        <v>0</v>
      </c>
      <c r="K7" s="20">
        <f t="shared" si="0"/>
        <v>0</v>
      </c>
      <c r="L7" s="20">
        <f t="shared" si="0"/>
        <v>0</v>
      </c>
      <c r="M7" s="20">
        <f t="shared" si="0"/>
        <v>0</v>
      </c>
      <c r="N7" s="20">
        <f t="shared" si="0"/>
        <v>0</v>
      </c>
      <c r="O7" s="20">
        <f t="shared" si="0"/>
        <v>0</v>
      </c>
      <c r="P7" s="20">
        <f t="shared" si="0"/>
        <v>0</v>
      </c>
      <c r="Q7" s="20">
        <f t="shared" si="0"/>
        <v>0</v>
      </c>
      <c r="R7" s="20">
        <f t="shared" si="0"/>
        <v>0</v>
      </c>
      <c r="S7" s="20">
        <f t="shared" si="0"/>
        <v>0</v>
      </c>
      <c r="T7" s="20">
        <f t="shared" si="0"/>
        <v>0</v>
      </c>
      <c r="Y7" s="14" t="s">
        <v>67</v>
      </c>
      <c r="Z7" s="20">
        <f>$C72</f>
        <v>0</v>
      </c>
      <c r="AA7" s="20">
        <f>$C73</f>
        <v>0</v>
      </c>
      <c r="AB7" s="20">
        <f>$C74</f>
        <v>0</v>
      </c>
      <c r="AC7" s="20">
        <f>$C75</f>
        <v>0</v>
      </c>
      <c r="AD7" s="20">
        <f>$C76</f>
        <v>0</v>
      </c>
      <c r="AE7" s="20">
        <f>$C77</f>
        <v>0</v>
      </c>
      <c r="AF7" s="20">
        <f>$C78</f>
        <v>0</v>
      </c>
      <c r="AG7" s="20">
        <f>$C79</f>
        <v>0</v>
      </c>
      <c r="AH7" s="20">
        <f>$C80</f>
        <v>0</v>
      </c>
      <c r="AI7" s="20">
        <f>$C81</f>
        <v>0</v>
      </c>
      <c r="AJ7" s="20">
        <f>$C82</f>
        <v>0</v>
      </c>
      <c r="AK7" s="20">
        <f>$C83</f>
        <v>0</v>
      </c>
      <c r="AL7" s="20">
        <f>$C84</f>
        <v>0</v>
      </c>
      <c r="AM7" s="20">
        <f>$C85</f>
        <v>0</v>
      </c>
      <c r="AN7" s="20">
        <f>$C86</f>
        <v>0</v>
      </c>
      <c r="AO7" s="20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23" t="s">
        <v>33</v>
      </c>
      <c r="Z8" s="24">
        <f>$H72/10</f>
        <v>0</v>
      </c>
      <c r="AA8" s="24">
        <f>$H73/10</f>
        <v>0</v>
      </c>
      <c r="AB8" s="24">
        <f>$H74/10</f>
        <v>0</v>
      </c>
      <c r="AC8" s="24">
        <f>$H75/10</f>
        <v>0</v>
      </c>
      <c r="AD8" s="24">
        <f>$H76/10</f>
        <v>0</v>
      </c>
      <c r="AE8" s="24">
        <f>$H77/10</f>
        <v>0</v>
      </c>
      <c r="AF8" s="24">
        <f>$H78/10</f>
        <v>0</v>
      </c>
      <c r="AG8" s="24">
        <f>$H79/10</f>
        <v>0</v>
      </c>
      <c r="AH8" s="24">
        <f>$H80/10</f>
        <v>0</v>
      </c>
      <c r="AI8" s="24">
        <f>$H81/10</f>
        <v>0</v>
      </c>
      <c r="AJ8" s="24">
        <f>$H82/10</f>
        <v>0</v>
      </c>
      <c r="AK8" s="24">
        <f>$H83/10</f>
        <v>0</v>
      </c>
      <c r="AL8" s="24">
        <f>$H84/10</f>
        <v>0</v>
      </c>
      <c r="AM8" s="24">
        <f>$H85/10</f>
        <v>0</v>
      </c>
      <c r="AN8" s="24">
        <f>$H86/10</f>
        <v>0</v>
      </c>
      <c r="AO8" s="24">
        <f>$H87/10</f>
        <v>0</v>
      </c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23" t="s">
        <v>33</v>
      </c>
      <c r="Z9" s="24">
        <f>$H72/10</f>
        <v>0</v>
      </c>
      <c r="AA9" s="24">
        <f>$H73/10</f>
        <v>0</v>
      </c>
      <c r="AB9" s="24">
        <f>$H74/10</f>
        <v>0</v>
      </c>
      <c r="AC9" s="24">
        <f>$H75/10</f>
        <v>0</v>
      </c>
      <c r="AD9" s="24">
        <f>$H76/10</f>
        <v>0</v>
      </c>
      <c r="AE9" s="24">
        <f>$H77/10</f>
        <v>0</v>
      </c>
      <c r="AF9" s="24">
        <f>$H78/10</f>
        <v>0</v>
      </c>
      <c r="AG9" s="24">
        <f>$H79/10</f>
        <v>0</v>
      </c>
      <c r="AH9" s="24">
        <f>$H80/10</f>
        <v>0</v>
      </c>
      <c r="AI9" s="24">
        <f>$H81/10</f>
        <v>0</v>
      </c>
      <c r="AJ9" s="24">
        <f>$H82/10</f>
        <v>0</v>
      </c>
      <c r="AK9" s="24">
        <f>$H83/10</f>
        <v>0</v>
      </c>
      <c r="AL9" s="24">
        <f>$H84/10</f>
        <v>0</v>
      </c>
      <c r="AM9" s="24">
        <f>$H85/10</f>
        <v>0</v>
      </c>
      <c r="AN9" s="24">
        <f>$H86/10</f>
        <v>0</v>
      </c>
      <c r="AO9" s="24">
        <f>$H87/10</f>
        <v>0</v>
      </c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U71"/>
  <sheetViews>
    <sheetView topLeftCell="A25" zoomScale="70" zoomScaleNormal="70" workbookViewId="0">
      <selection activeCell="Y57" sqref="Y57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11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11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11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15">
        <f>E5+E6</f>
        <v>0</v>
      </c>
      <c r="F7" s="15">
        <f t="shared" ref="F7:T7" si="0">F5+F6</f>
        <v>0</v>
      </c>
      <c r="G7" s="15">
        <f t="shared" si="0"/>
        <v>0</v>
      </c>
      <c r="H7" s="15">
        <f t="shared" si="0"/>
        <v>0</v>
      </c>
      <c r="I7" s="15">
        <f t="shared" si="0"/>
        <v>0</v>
      </c>
      <c r="J7" s="15">
        <f t="shared" si="0"/>
        <v>0</v>
      </c>
      <c r="K7" s="15">
        <f t="shared" si="0"/>
        <v>0</v>
      </c>
      <c r="L7" s="15">
        <f t="shared" si="0"/>
        <v>0</v>
      </c>
      <c r="M7" s="15">
        <f t="shared" si="0"/>
        <v>0</v>
      </c>
      <c r="N7" s="15">
        <f t="shared" si="0"/>
        <v>0</v>
      </c>
      <c r="O7" s="15">
        <f t="shared" si="0"/>
        <v>0</v>
      </c>
      <c r="P7" s="15">
        <f t="shared" si="0"/>
        <v>0</v>
      </c>
      <c r="Q7" s="15">
        <f t="shared" si="0"/>
        <v>0</v>
      </c>
      <c r="R7" s="15">
        <f t="shared" si="0"/>
        <v>0</v>
      </c>
      <c r="S7" s="15">
        <f t="shared" si="0"/>
        <v>0</v>
      </c>
      <c r="T7" s="15">
        <f t="shared" si="0"/>
        <v>0</v>
      </c>
      <c r="Y7" s="14" t="s">
        <v>67</v>
      </c>
      <c r="Z7" s="15">
        <f>$C72</f>
        <v>0</v>
      </c>
      <c r="AA7" s="15">
        <f>$C73</f>
        <v>0</v>
      </c>
      <c r="AB7" s="15">
        <f>$C74</f>
        <v>0</v>
      </c>
      <c r="AC7" s="15">
        <f>$C75</f>
        <v>0</v>
      </c>
      <c r="AD7" s="15">
        <f>$C76</f>
        <v>0</v>
      </c>
      <c r="AE7" s="15">
        <f>$C77</f>
        <v>0</v>
      </c>
      <c r="AF7" s="15">
        <f>$C78</f>
        <v>0</v>
      </c>
      <c r="AG7" s="15">
        <f>$C79</f>
        <v>0</v>
      </c>
      <c r="AH7" s="15">
        <f>$C80</f>
        <v>0</v>
      </c>
      <c r="AI7" s="15">
        <f>$C81</f>
        <v>0</v>
      </c>
      <c r="AJ7" s="15">
        <f>$C82</f>
        <v>0</v>
      </c>
      <c r="AK7" s="15">
        <f>$C83</f>
        <v>0</v>
      </c>
      <c r="AL7" s="15">
        <f>$C84</f>
        <v>0</v>
      </c>
      <c r="AM7" s="15">
        <f>$C85</f>
        <v>0</v>
      </c>
      <c r="AN7" s="15">
        <f>$C86</f>
        <v>0</v>
      </c>
      <c r="AO7" s="15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U71"/>
  <sheetViews>
    <sheetView zoomScale="70" zoomScaleNormal="70" workbookViewId="0">
      <selection activeCell="D52" sqref="D52:S67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19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19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19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0">
        <f>E5+E6</f>
        <v>0</v>
      </c>
      <c r="F7" s="20">
        <f t="shared" ref="F7:T7" si="0">F5+F6</f>
        <v>0</v>
      </c>
      <c r="G7" s="20">
        <f t="shared" si="0"/>
        <v>0</v>
      </c>
      <c r="H7" s="20">
        <f t="shared" si="0"/>
        <v>0</v>
      </c>
      <c r="I7" s="20">
        <f t="shared" si="0"/>
        <v>0</v>
      </c>
      <c r="J7" s="20">
        <f t="shared" si="0"/>
        <v>0</v>
      </c>
      <c r="K7" s="20">
        <f t="shared" si="0"/>
        <v>0</v>
      </c>
      <c r="L7" s="20">
        <f t="shared" si="0"/>
        <v>0</v>
      </c>
      <c r="M7" s="20">
        <f t="shared" si="0"/>
        <v>0</v>
      </c>
      <c r="N7" s="20">
        <f t="shared" si="0"/>
        <v>0</v>
      </c>
      <c r="O7" s="20">
        <f t="shared" si="0"/>
        <v>0</v>
      </c>
      <c r="P7" s="20">
        <f t="shared" si="0"/>
        <v>0</v>
      </c>
      <c r="Q7" s="20">
        <f t="shared" si="0"/>
        <v>0</v>
      </c>
      <c r="R7" s="20">
        <f t="shared" si="0"/>
        <v>0</v>
      </c>
      <c r="S7" s="20">
        <f t="shared" si="0"/>
        <v>0</v>
      </c>
      <c r="T7" s="20">
        <f t="shared" si="0"/>
        <v>0</v>
      </c>
      <c r="Y7" s="14" t="s">
        <v>67</v>
      </c>
      <c r="Z7" s="20">
        <f>$C72</f>
        <v>0</v>
      </c>
      <c r="AA7" s="20">
        <f>$C73</f>
        <v>0</v>
      </c>
      <c r="AB7" s="20">
        <f>$C74</f>
        <v>0</v>
      </c>
      <c r="AC7" s="20">
        <f>$C75</f>
        <v>0</v>
      </c>
      <c r="AD7" s="20">
        <f>$C76</f>
        <v>0</v>
      </c>
      <c r="AE7" s="20">
        <f>$C77</f>
        <v>0</v>
      </c>
      <c r="AF7" s="20">
        <f>$C78</f>
        <v>0</v>
      </c>
      <c r="AG7" s="20">
        <f>$C79</f>
        <v>0</v>
      </c>
      <c r="AH7" s="20">
        <f>$C80</f>
        <v>0</v>
      </c>
      <c r="AI7" s="20">
        <f>$C81</f>
        <v>0</v>
      </c>
      <c r="AJ7" s="20">
        <f>$C82</f>
        <v>0</v>
      </c>
      <c r="AK7" s="20">
        <f>$C83</f>
        <v>0</v>
      </c>
      <c r="AL7" s="20">
        <f>$C84</f>
        <v>0</v>
      </c>
      <c r="AM7" s="20">
        <f>$C85</f>
        <v>0</v>
      </c>
      <c r="AN7" s="20">
        <f>$C86</f>
        <v>0</v>
      </c>
      <c r="AO7" s="20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U71"/>
  <sheetViews>
    <sheetView zoomScale="70" zoomScaleNormal="70" workbookViewId="0">
      <selection activeCell="D67" sqref="D67:S67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11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11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11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15">
        <f>E5+E6</f>
        <v>0</v>
      </c>
      <c r="F7" s="15">
        <f t="shared" ref="F7:T7" si="0">F5+F6</f>
        <v>0</v>
      </c>
      <c r="G7" s="15">
        <f t="shared" si="0"/>
        <v>0</v>
      </c>
      <c r="H7" s="15">
        <f t="shared" si="0"/>
        <v>0</v>
      </c>
      <c r="I7" s="15">
        <f t="shared" si="0"/>
        <v>0</v>
      </c>
      <c r="J7" s="15">
        <f t="shared" si="0"/>
        <v>0</v>
      </c>
      <c r="K7" s="15">
        <f t="shared" si="0"/>
        <v>0</v>
      </c>
      <c r="L7" s="15">
        <f t="shared" si="0"/>
        <v>0</v>
      </c>
      <c r="M7" s="15">
        <f t="shared" si="0"/>
        <v>0</v>
      </c>
      <c r="N7" s="15">
        <f t="shared" si="0"/>
        <v>0</v>
      </c>
      <c r="O7" s="15">
        <f t="shared" si="0"/>
        <v>0</v>
      </c>
      <c r="P7" s="15">
        <f t="shared" si="0"/>
        <v>0</v>
      </c>
      <c r="Q7" s="15">
        <f t="shared" si="0"/>
        <v>0</v>
      </c>
      <c r="R7" s="15">
        <f t="shared" si="0"/>
        <v>0</v>
      </c>
      <c r="S7" s="15">
        <f t="shared" si="0"/>
        <v>0</v>
      </c>
      <c r="T7" s="15">
        <f t="shared" si="0"/>
        <v>0</v>
      </c>
      <c r="Y7" s="14" t="s">
        <v>67</v>
      </c>
      <c r="Z7" s="15">
        <f>$C72</f>
        <v>0</v>
      </c>
      <c r="AA7" s="15">
        <f>$C73</f>
        <v>0</v>
      </c>
      <c r="AB7" s="15">
        <f>$C74</f>
        <v>0</v>
      </c>
      <c r="AC7" s="15">
        <f>$C75</f>
        <v>0</v>
      </c>
      <c r="AD7" s="15">
        <f>$C76</f>
        <v>0</v>
      </c>
      <c r="AE7" s="15">
        <f>$C77</f>
        <v>0</v>
      </c>
      <c r="AF7" s="15">
        <f>$C78</f>
        <v>0</v>
      </c>
      <c r="AG7" s="15">
        <f>$C79</f>
        <v>0</v>
      </c>
      <c r="AH7" s="15">
        <f>$C80</f>
        <v>0</v>
      </c>
      <c r="AI7" s="15">
        <f>$C81</f>
        <v>0</v>
      </c>
      <c r="AJ7" s="15">
        <f>$C82</f>
        <v>0</v>
      </c>
      <c r="AK7" s="15">
        <f>$C83</f>
        <v>0</v>
      </c>
      <c r="AL7" s="15">
        <f>$C84</f>
        <v>0</v>
      </c>
      <c r="AM7" s="15">
        <f>$C85</f>
        <v>0</v>
      </c>
      <c r="AN7" s="15">
        <f>$C86</f>
        <v>0</v>
      </c>
      <c r="AO7" s="15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U71"/>
  <sheetViews>
    <sheetView zoomScale="70" zoomScaleNormal="70" workbookViewId="0">
      <selection activeCell="D52" sqref="D52:S67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19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19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19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0">
        <f>E5+E6</f>
        <v>0</v>
      </c>
      <c r="F7" s="20">
        <f t="shared" ref="F7:T7" si="0">F5+F6</f>
        <v>0</v>
      </c>
      <c r="G7" s="20">
        <f t="shared" si="0"/>
        <v>0</v>
      </c>
      <c r="H7" s="20">
        <f t="shared" si="0"/>
        <v>0</v>
      </c>
      <c r="I7" s="20">
        <f t="shared" si="0"/>
        <v>0</v>
      </c>
      <c r="J7" s="20">
        <f t="shared" si="0"/>
        <v>0</v>
      </c>
      <c r="K7" s="20">
        <f t="shared" si="0"/>
        <v>0</v>
      </c>
      <c r="L7" s="20">
        <f t="shared" si="0"/>
        <v>0</v>
      </c>
      <c r="M7" s="20">
        <f t="shared" si="0"/>
        <v>0</v>
      </c>
      <c r="N7" s="20">
        <f t="shared" si="0"/>
        <v>0</v>
      </c>
      <c r="O7" s="20">
        <f t="shared" si="0"/>
        <v>0</v>
      </c>
      <c r="P7" s="20">
        <f t="shared" si="0"/>
        <v>0</v>
      </c>
      <c r="Q7" s="20">
        <f t="shared" si="0"/>
        <v>0</v>
      </c>
      <c r="R7" s="20">
        <f t="shared" si="0"/>
        <v>0</v>
      </c>
      <c r="S7" s="20">
        <f t="shared" si="0"/>
        <v>0</v>
      </c>
      <c r="T7" s="20">
        <f t="shared" si="0"/>
        <v>0</v>
      </c>
      <c r="Y7" s="14" t="s">
        <v>67</v>
      </c>
      <c r="Z7" s="20">
        <f>$C72</f>
        <v>0</v>
      </c>
      <c r="AA7" s="20">
        <f>$C73</f>
        <v>0</v>
      </c>
      <c r="AB7" s="20">
        <f>$C74</f>
        <v>0</v>
      </c>
      <c r="AC7" s="20">
        <f>$C75</f>
        <v>0</v>
      </c>
      <c r="AD7" s="20">
        <f>$C76</f>
        <v>0</v>
      </c>
      <c r="AE7" s="20">
        <f>$C77</f>
        <v>0</v>
      </c>
      <c r="AF7" s="20">
        <f>$C78</f>
        <v>0</v>
      </c>
      <c r="AG7" s="20">
        <f>$C79</f>
        <v>0</v>
      </c>
      <c r="AH7" s="20">
        <f>$C80</f>
        <v>0</v>
      </c>
      <c r="AI7" s="20">
        <f>$C81</f>
        <v>0</v>
      </c>
      <c r="AJ7" s="20">
        <f>$C82</f>
        <v>0</v>
      </c>
      <c r="AK7" s="20">
        <f>$C83</f>
        <v>0</v>
      </c>
      <c r="AL7" s="20">
        <f>$C84</f>
        <v>0</v>
      </c>
      <c r="AM7" s="20">
        <f>$C85</f>
        <v>0</v>
      </c>
      <c r="AN7" s="20">
        <f>$C86</f>
        <v>0</v>
      </c>
      <c r="AO7" s="20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AU71"/>
  <sheetViews>
    <sheetView topLeftCell="B1" zoomScale="70" zoomScaleNormal="70" workbookViewId="0">
      <selection activeCell="D67" sqref="D67:S67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1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1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1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2">
        <f>E5+E6</f>
        <v>0</v>
      </c>
      <c r="F7" s="22">
        <f t="shared" ref="F7:T7" si="0">F5+F6</f>
        <v>0</v>
      </c>
      <c r="G7" s="22">
        <f t="shared" si="0"/>
        <v>0</v>
      </c>
      <c r="H7" s="22">
        <f t="shared" si="0"/>
        <v>0</v>
      </c>
      <c r="I7" s="22">
        <f t="shared" si="0"/>
        <v>0</v>
      </c>
      <c r="J7" s="22">
        <f t="shared" si="0"/>
        <v>0</v>
      </c>
      <c r="K7" s="22">
        <f t="shared" si="0"/>
        <v>0</v>
      </c>
      <c r="L7" s="22">
        <f t="shared" si="0"/>
        <v>0</v>
      </c>
      <c r="M7" s="22">
        <f t="shared" si="0"/>
        <v>0</v>
      </c>
      <c r="N7" s="22">
        <f t="shared" si="0"/>
        <v>0</v>
      </c>
      <c r="O7" s="22">
        <f t="shared" si="0"/>
        <v>0</v>
      </c>
      <c r="P7" s="22">
        <f t="shared" si="0"/>
        <v>0</v>
      </c>
      <c r="Q7" s="22">
        <f t="shared" si="0"/>
        <v>0</v>
      </c>
      <c r="R7" s="22">
        <f t="shared" si="0"/>
        <v>0</v>
      </c>
      <c r="S7" s="22">
        <f t="shared" si="0"/>
        <v>0</v>
      </c>
      <c r="T7" s="22">
        <f t="shared" si="0"/>
        <v>0</v>
      </c>
      <c r="Y7" s="14" t="s">
        <v>67</v>
      </c>
      <c r="Z7" s="22">
        <f>$C72</f>
        <v>0</v>
      </c>
      <c r="AA7" s="22">
        <f>$C73</f>
        <v>0</v>
      </c>
      <c r="AB7" s="22">
        <f>$C74</f>
        <v>0</v>
      </c>
      <c r="AC7" s="22">
        <f>$C75</f>
        <v>0</v>
      </c>
      <c r="AD7" s="22">
        <f>$C76</f>
        <v>0</v>
      </c>
      <c r="AE7" s="22">
        <f>$C77</f>
        <v>0</v>
      </c>
      <c r="AF7" s="22">
        <f>$C78</f>
        <v>0</v>
      </c>
      <c r="AG7" s="22">
        <f>$C79</f>
        <v>0</v>
      </c>
      <c r="AH7" s="22">
        <f>$C80</f>
        <v>0</v>
      </c>
      <c r="AI7" s="22">
        <f>$C81</f>
        <v>0</v>
      </c>
      <c r="AJ7" s="22">
        <f>$C82</f>
        <v>0</v>
      </c>
      <c r="AK7" s="22">
        <f>$C83</f>
        <v>0</v>
      </c>
      <c r="AL7" s="22">
        <f>$C84</f>
        <v>0</v>
      </c>
      <c r="AM7" s="22">
        <f>$C85</f>
        <v>0</v>
      </c>
      <c r="AN7" s="22">
        <f>$C86</f>
        <v>0</v>
      </c>
      <c r="AO7" s="22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AU71"/>
  <sheetViews>
    <sheetView zoomScale="70" zoomScaleNormal="70" workbookViewId="0">
      <selection activeCell="D67" sqref="D67:S68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1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1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1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2">
        <f>E5+E6</f>
        <v>0</v>
      </c>
      <c r="F7" s="22">
        <f t="shared" ref="F7:T7" si="0">F5+F6</f>
        <v>0</v>
      </c>
      <c r="G7" s="22">
        <f t="shared" si="0"/>
        <v>0</v>
      </c>
      <c r="H7" s="22">
        <f t="shared" si="0"/>
        <v>0</v>
      </c>
      <c r="I7" s="22">
        <f t="shared" si="0"/>
        <v>0</v>
      </c>
      <c r="J7" s="22">
        <f t="shared" si="0"/>
        <v>0</v>
      </c>
      <c r="K7" s="22">
        <f t="shared" si="0"/>
        <v>0</v>
      </c>
      <c r="L7" s="22">
        <f t="shared" si="0"/>
        <v>0</v>
      </c>
      <c r="M7" s="22">
        <f t="shared" si="0"/>
        <v>0</v>
      </c>
      <c r="N7" s="22">
        <f t="shared" si="0"/>
        <v>0</v>
      </c>
      <c r="O7" s="22">
        <f t="shared" si="0"/>
        <v>0</v>
      </c>
      <c r="P7" s="22">
        <f t="shared" si="0"/>
        <v>0</v>
      </c>
      <c r="Q7" s="22">
        <f t="shared" si="0"/>
        <v>0</v>
      </c>
      <c r="R7" s="22">
        <f t="shared" si="0"/>
        <v>0</v>
      </c>
      <c r="S7" s="22">
        <f t="shared" si="0"/>
        <v>0</v>
      </c>
      <c r="T7" s="22">
        <f t="shared" si="0"/>
        <v>0</v>
      </c>
      <c r="Y7" s="14" t="s">
        <v>67</v>
      </c>
      <c r="Z7" s="22">
        <f>$C72</f>
        <v>0</v>
      </c>
      <c r="AA7" s="22">
        <f>$C73</f>
        <v>0</v>
      </c>
      <c r="AB7" s="22">
        <f>$C74</f>
        <v>0</v>
      </c>
      <c r="AC7" s="22">
        <f>$C75</f>
        <v>0</v>
      </c>
      <c r="AD7" s="22">
        <f>$C76</f>
        <v>0</v>
      </c>
      <c r="AE7" s="22">
        <f>$C77</f>
        <v>0</v>
      </c>
      <c r="AF7" s="22">
        <f>$C78</f>
        <v>0</v>
      </c>
      <c r="AG7" s="22">
        <f>$C79</f>
        <v>0</v>
      </c>
      <c r="AH7" s="22">
        <f>$C80</f>
        <v>0</v>
      </c>
      <c r="AI7" s="22">
        <f>$C81</f>
        <v>0</v>
      </c>
      <c r="AJ7" s="22">
        <f>$C82</f>
        <v>0</v>
      </c>
      <c r="AK7" s="22">
        <f>$C83</f>
        <v>0</v>
      </c>
      <c r="AL7" s="22">
        <f>$C84</f>
        <v>0</v>
      </c>
      <c r="AM7" s="22">
        <f>$C85</f>
        <v>0</v>
      </c>
      <c r="AN7" s="22">
        <f>$C86</f>
        <v>0</v>
      </c>
      <c r="AO7" s="22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AU71"/>
  <sheetViews>
    <sheetView zoomScale="70" zoomScaleNormal="70" workbookViewId="0">
      <selection activeCell="D52" sqref="D52:S67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1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1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1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2">
        <f>E5+E6</f>
        <v>0</v>
      </c>
      <c r="F7" s="22">
        <f t="shared" ref="F7:T7" si="0">F5+F6</f>
        <v>0</v>
      </c>
      <c r="G7" s="22">
        <f t="shared" si="0"/>
        <v>0</v>
      </c>
      <c r="H7" s="22">
        <f t="shared" si="0"/>
        <v>0</v>
      </c>
      <c r="I7" s="22">
        <f t="shared" si="0"/>
        <v>0</v>
      </c>
      <c r="J7" s="22">
        <f t="shared" si="0"/>
        <v>0</v>
      </c>
      <c r="K7" s="22">
        <f t="shared" si="0"/>
        <v>0</v>
      </c>
      <c r="L7" s="22">
        <f t="shared" si="0"/>
        <v>0</v>
      </c>
      <c r="M7" s="22">
        <f t="shared" si="0"/>
        <v>0</v>
      </c>
      <c r="N7" s="22">
        <f t="shared" si="0"/>
        <v>0</v>
      </c>
      <c r="O7" s="22">
        <f t="shared" si="0"/>
        <v>0</v>
      </c>
      <c r="P7" s="22">
        <f t="shared" si="0"/>
        <v>0</v>
      </c>
      <c r="Q7" s="22">
        <f t="shared" si="0"/>
        <v>0</v>
      </c>
      <c r="R7" s="22">
        <f t="shared" si="0"/>
        <v>0</v>
      </c>
      <c r="S7" s="22">
        <f t="shared" si="0"/>
        <v>0</v>
      </c>
      <c r="T7" s="22">
        <f t="shared" si="0"/>
        <v>0</v>
      </c>
      <c r="Y7" s="14" t="s">
        <v>67</v>
      </c>
      <c r="Z7" s="22">
        <f>$C72</f>
        <v>0</v>
      </c>
      <c r="AA7" s="22">
        <f>$C73</f>
        <v>0</v>
      </c>
      <c r="AB7" s="22">
        <f>$C74</f>
        <v>0</v>
      </c>
      <c r="AC7" s="22">
        <f>$C75</f>
        <v>0</v>
      </c>
      <c r="AD7" s="22">
        <f>$C76</f>
        <v>0</v>
      </c>
      <c r="AE7" s="22">
        <f>$C77</f>
        <v>0</v>
      </c>
      <c r="AF7" s="22">
        <f>$C78</f>
        <v>0</v>
      </c>
      <c r="AG7" s="22">
        <f>$C79</f>
        <v>0</v>
      </c>
      <c r="AH7" s="22">
        <f>$C80</f>
        <v>0</v>
      </c>
      <c r="AI7" s="22">
        <f>$C81</f>
        <v>0</v>
      </c>
      <c r="AJ7" s="22">
        <f>$C82</f>
        <v>0</v>
      </c>
      <c r="AK7" s="22">
        <f>$C83</f>
        <v>0</v>
      </c>
      <c r="AL7" s="22">
        <f>$C84</f>
        <v>0</v>
      </c>
      <c r="AM7" s="22">
        <f>$C85</f>
        <v>0</v>
      </c>
      <c r="AN7" s="22">
        <f>$C86</f>
        <v>0</v>
      </c>
      <c r="AO7" s="22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AU71"/>
  <sheetViews>
    <sheetView zoomScale="70" zoomScaleNormal="70" workbookViewId="0">
      <selection activeCell="B7" sqref="B7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1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1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1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2">
        <f>E5+E6</f>
        <v>0</v>
      </c>
      <c r="F7" s="22">
        <f t="shared" ref="F7:T7" si="0">F5+F6</f>
        <v>0</v>
      </c>
      <c r="G7" s="22">
        <f t="shared" si="0"/>
        <v>0</v>
      </c>
      <c r="H7" s="22">
        <f t="shared" si="0"/>
        <v>0</v>
      </c>
      <c r="I7" s="22">
        <f t="shared" si="0"/>
        <v>0</v>
      </c>
      <c r="J7" s="22">
        <f t="shared" si="0"/>
        <v>0</v>
      </c>
      <c r="K7" s="22">
        <f t="shared" si="0"/>
        <v>0</v>
      </c>
      <c r="L7" s="22">
        <f t="shared" si="0"/>
        <v>0</v>
      </c>
      <c r="M7" s="22">
        <f t="shared" si="0"/>
        <v>0</v>
      </c>
      <c r="N7" s="22">
        <f t="shared" si="0"/>
        <v>0</v>
      </c>
      <c r="O7" s="22">
        <f t="shared" si="0"/>
        <v>0</v>
      </c>
      <c r="P7" s="22">
        <f t="shared" si="0"/>
        <v>0</v>
      </c>
      <c r="Q7" s="22">
        <f t="shared" si="0"/>
        <v>0</v>
      </c>
      <c r="R7" s="22">
        <f t="shared" si="0"/>
        <v>0</v>
      </c>
      <c r="S7" s="22">
        <f t="shared" si="0"/>
        <v>0</v>
      </c>
      <c r="T7" s="22">
        <f t="shared" si="0"/>
        <v>0</v>
      </c>
      <c r="Y7" s="14" t="s">
        <v>67</v>
      </c>
      <c r="Z7" s="22">
        <f>$C72</f>
        <v>0</v>
      </c>
      <c r="AA7" s="22">
        <f>$C73</f>
        <v>0</v>
      </c>
      <c r="AB7" s="22">
        <f>$C74</f>
        <v>0</v>
      </c>
      <c r="AC7" s="22">
        <f>$C75</f>
        <v>0</v>
      </c>
      <c r="AD7" s="22">
        <f>$C76</f>
        <v>0</v>
      </c>
      <c r="AE7" s="22">
        <f>$C77</f>
        <v>0</v>
      </c>
      <c r="AF7" s="22">
        <f>$C78</f>
        <v>0</v>
      </c>
      <c r="AG7" s="22">
        <f>$C79</f>
        <v>0</v>
      </c>
      <c r="AH7" s="22">
        <f>$C80</f>
        <v>0</v>
      </c>
      <c r="AI7" s="22">
        <f>$C81</f>
        <v>0</v>
      </c>
      <c r="AJ7" s="22">
        <f>$C82</f>
        <v>0</v>
      </c>
      <c r="AK7" s="22">
        <f>$C83</f>
        <v>0</v>
      </c>
      <c r="AL7" s="22">
        <f>$C84</f>
        <v>0</v>
      </c>
      <c r="AM7" s="22">
        <f>$C85</f>
        <v>0</v>
      </c>
      <c r="AN7" s="22">
        <f>$C86</f>
        <v>0</v>
      </c>
      <c r="AO7" s="22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AU71"/>
  <sheetViews>
    <sheetView topLeftCell="A9" zoomScale="70" zoomScaleNormal="70" workbookViewId="0">
      <selection activeCell="D52" sqref="D52:S67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1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1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1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2">
        <f>E5+E6</f>
        <v>0</v>
      </c>
      <c r="F7" s="22">
        <f t="shared" ref="F7:T7" si="0">F5+F6</f>
        <v>0</v>
      </c>
      <c r="G7" s="22">
        <f t="shared" si="0"/>
        <v>0</v>
      </c>
      <c r="H7" s="22">
        <f t="shared" si="0"/>
        <v>0</v>
      </c>
      <c r="I7" s="22">
        <f t="shared" si="0"/>
        <v>0</v>
      </c>
      <c r="J7" s="22">
        <f t="shared" si="0"/>
        <v>0</v>
      </c>
      <c r="K7" s="22">
        <f t="shared" si="0"/>
        <v>0</v>
      </c>
      <c r="L7" s="22">
        <f t="shared" si="0"/>
        <v>0</v>
      </c>
      <c r="M7" s="22">
        <f t="shared" si="0"/>
        <v>0</v>
      </c>
      <c r="N7" s="22">
        <f t="shared" si="0"/>
        <v>0</v>
      </c>
      <c r="O7" s="22">
        <f t="shared" si="0"/>
        <v>0</v>
      </c>
      <c r="P7" s="22">
        <f t="shared" si="0"/>
        <v>0</v>
      </c>
      <c r="Q7" s="22">
        <f t="shared" si="0"/>
        <v>0</v>
      </c>
      <c r="R7" s="22">
        <f t="shared" si="0"/>
        <v>0</v>
      </c>
      <c r="S7" s="22">
        <f t="shared" si="0"/>
        <v>0</v>
      </c>
      <c r="T7" s="22">
        <f t="shared" si="0"/>
        <v>0</v>
      </c>
      <c r="Y7" s="14" t="s">
        <v>67</v>
      </c>
      <c r="Z7" s="22">
        <f>$C72</f>
        <v>0</v>
      </c>
      <c r="AA7" s="22">
        <f>$C73</f>
        <v>0</v>
      </c>
      <c r="AB7" s="22">
        <f>$C74</f>
        <v>0</v>
      </c>
      <c r="AC7" s="22">
        <f>$C75</f>
        <v>0</v>
      </c>
      <c r="AD7" s="22">
        <f>$C76</f>
        <v>0</v>
      </c>
      <c r="AE7" s="22">
        <f>$C77</f>
        <v>0</v>
      </c>
      <c r="AF7" s="22">
        <f>$C78</f>
        <v>0</v>
      </c>
      <c r="AG7" s="22">
        <f>$C79</f>
        <v>0</v>
      </c>
      <c r="AH7" s="22">
        <f>$C80</f>
        <v>0</v>
      </c>
      <c r="AI7" s="22">
        <f>$C81</f>
        <v>0</v>
      </c>
      <c r="AJ7" s="22">
        <f>$C82</f>
        <v>0</v>
      </c>
      <c r="AK7" s="22">
        <f>$C83</f>
        <v>0</v>
      </c>
      <c r="AL7" s="22">
        <f>$C84</f>
        <v>0</v>
      </c>
      <c r="AM7" s="22">
        <f>$C85</f>
        <v>0</v>
      </c>
      <c r="AN7" s="22">
        <f>$C86</f>
        <v>0</v>
      </c>
      <c r="AO7" s="22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AU71"/>
  <sheetViews>
    <sheetView topLeftCell="A13" zoomScale="70" zoomScaleNormal="70" workbookViewId="0">
      <selection activeCell="D52" sqref="D52:S67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1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1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1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2">
        <f>E5+E6</f>
        <v>0</v>
      </c>
      <c r="F7" s="22">
        <f t="shared" ref="F7:T7" si="0">F5+F6</f>
        <v>0</v>
      </c>
      <c r="G7" s="22">
        <f t="shared" si="0"/>
        <v>0</v>
      </c>
      <c r="H7" s="22">
        <f t="shared" si="0"/>
        <v>0</v>
      </c>
      <c r="I7" s="22">
        <f t="shared" si="0"/>
        <v>0</v>
      </c>
      <c r="J7" s="22">
        <f t="shared" si="0"/>
        <v>0</v>
      </c>
      <c r="K7" s="22">
        <f t="shared" si="0"/>
        <v>0</v>
      </c>
      <c r="L7" s="22">
        <f t="shared" si="0"/>
        <v>0</v>
      </c>
      <c r="M7" s="22">
        <f t="shared" si="0"/>
        <v>0</v>
      </c>
      <c r="N7" s="22">
        <f t="shared" si="0"/>
        <v>0</v>
      </c>
      <c r="O7" s="22">
        <f t="shared" si="0"/>
        <v>0</v>
      </c>
      <c r="P7" s="22">
        <f t="shared" si="0"/>
        <v>0</v>
      </c>
      <c r="Q7" s="22">
        <f t="shared" si="0"/>
        <v>0</v>
      </c>
      <c r="R7" s="22">
        <f t="shared" si="0"/>
        <v>0</v>
      </c>
      <c r="S7" s="22">
        <f t="shared" si="0"/>
        <v>0</v>
      </c>
      <c r="T7" s="22">
        <f t="shared" si="0"/>
        <v>0</v>
      </c>
      <c r="Y7" s="14" t="s">
        <v>67</v>
      </c>
      <c r="Z7" s="22">
        <f>$C72</f>
        <v>0</v>
      </c>
      <c r="AA7" s="22">
        <f>$C73</f>
        <v>0</v>
      </c>
      <c r="AB7" s="22">
        <f>$C74</f>
        <v>0</v>
      </c>
      <c r="AC7" s="22">
        <f>$C75</f>
        <v>0</v>
      </c>
      <c r="AD7" s="22">
        <f>$C76</f>
        <v>0</v>
      </c>
      <c r="AE7" s="22">
        <f>$C77</f>
        <v>0</v>
      </c>
      <c r="AF7" s="22">
        <f>$C78</f>
        <v>0</v>
      </c>
      <c r="AG7" s="22">
        <f>$C79</f>
        <v>0</v>
      </c>
      <c r="AH7" s="22">
        <f>$C80</f>
        <v>0</v>
      </c>
      <c r="AI7" s="22">
        <f>$C81</f>
        <v>0</v>
      </c>
      <c r="AJ7" s="22">
        <f>$C82</f>
        <v>0</v>
      </c>
      <c r="AK7" s="22">
        <f>$C83</f>
        <v>0</v>
      </c>
      <c r="AL7" s="22">
        <f>$C84</f>
        <v>0</v>
      </c>
      <c r="AM7" s="22">
        <f>$C85</f>
        <v>0</v>
      </c>
      <c r="AN7" s="22">
        <f>$C86</f>
        <v>0</v>
      </c>
      <c r="AO7" s="22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2:AU71"/>
  <sheetViews>
    <sheetView topLeftCell="A9" zoomScale="70" zoomScaleNormal="70" workbookViewId="0">
      <selection activeCell="W61" sqref="W61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8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8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8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9">
        <f>E5+E6</f>
        <v>0</v>
      </c>
      <c r="F7" s="29">
        <f t="shared" ref="F7:T7" si="0">F5+F6</f>
        <v>0</v>
      </c>
      <c r="G7" s="29">
        <f t="shared" si="0"/>
        <v>0</v>
      </c>
      <c r="H7" s="29">
        <f t="shared" si="0"/>
        <v>0</v>
      </c>
      <c r="I7" s="29">
        <f t="shared" si="0"/>
        <v>0</v>
      </c>
      <c r="J7" s="29">
        <f t="shared" si="0"/>
        <v>0</v>
      </c>
      <c r="K7" s="29">
        <f t="shared" si="0"/>
        <v>0</v>
      </c>
      <c r="L7" s="29">
        <f t="shared" si="0"/>
        <v>0</v>
      </c>
      <c r="M7" s="29">
        <f t="shared" si="0"/>
        <v>0</v>
      </c>
      <c r="N7" s="29">
        <f t="shared" si="0"/>
        <v>0</v>
      </c>
      <c r="O7" s="29">
        <f t="shared" si="0"/>
        <v>0</v>
      </c>
      <c r="P7" s="29">
        <f t="shared" si="0"/>
        <v>0</v>
      </c>
      <c r="Q7" s="29">
        <f t="shared" si="0"/>
        <v>0</v>
      </c>
      <c r="R7" s="29">
        <f t="shared" si="0"/>
        <v>0</v>
      </c>
      <c r="S7" s="29">
        <f t="shared" si="0"/>
        <v>0</v>
      </c>
      <c r="T7" s="29">
        <f t="shared" si="0"/>
        <v>0</v>
      </c>
      <c r="Y7" s="14" t="s">
        <v>67</v>
      </c>
      <c r="Z7" s="29">
        <f>$C72</f>
        <v>0</v>
      </c>
      <c r="AA7" s="29">
        <f>$C73</f>
        <v>0</v>
      </c>
      <c r="AB7" s="29">
        <f>$C74</f>
        <v>0</v>
      </c>
      <c r="AC7" s="29">
        <f>$C75</f>
        <v>0</v>
      </c>
      <c r="AD7" s="29">
        <f>$C76</f>
        <v>0</v>
      </c>
      <c r="AE7" s="29">
        <f>$C77</f>
        <v>0</v>
      </c>
      <c r="AF7" s="29">
        <f>$C78</f>
        <v>0</v>
      </c>
      <c r="AG7" s="29">
        <f>$C79</f>
        <v>0</v>
      </c>
      <c r="AH7" s="29">
        <f>$C80</f>
        <v>0</v>
      </c>
      <c r="AI7" s="29">
        <f>$C81</f>
        <v>0</v>
      </c>
      <c r="AJ7" s="29">
        <f>$C82</f>
        <v>0</v>
      </c>
      <c r="AK7" s="29">
        <f>$C83</f>
        <v>0</v>
      </c>
      <c r="AL7" s="29">
        <f>$C84</f>
        <v>0</v>
      </c>
      <c r="AM7" s="29">
        <f>$C85</f>
        <v>0</v>
      </c>
      <c r="AN7" s="29">
        <f>$C86</f>
        <v>0</v>
      </c>
      <c r="AO7" s="29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2:AU71"/>
  <sheetViews>
    <sheetView topLeftCell="A9" zoomScale="70" zoomScaleNormal="70" workbookViewId="0">
      <selection activeCell="W61" sqref="W61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8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8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8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9">
        <f>E5+E6</f>
        <v>0</v>
      </c>
      <c r="F7" s="29">
        <f t="shared" ref="F7:T7" si="0">F5+F6</f>
        <v>0</v>
      </c>
      <c r="G7" s="29">
        <f t="shared" si="0"/>
        <v>0</v>
      </c>
      <c r="H7" s="29">
        <f t="shared" si="0"/>
        <v>0</v>
      </c>
      <c r="I7" s="29">
        <f t="shared" si="0"/>
        <v>0</v>
      </c>
      <c r="J7" s="29">
        <f t="shared" si="0"/>
        <v>0</v>
      </c>
      <c r="K7" s="29">
        <f t="shared" si="0"/>
        <v>0</v>
      </c>
      <c r="L7" s="29">
        <f t="shared" si="0"/>
        <v>0</v>
      </c>
      <c r="M7" s="29">
        <f t="shared" si="0"/>
        <v>0</v>
      </c>
      <c r="N7" s="29">
        <f t="shared" si="0"/>
        <v>0</v>
      </c>
      <c r="O7" s="29">
        <f t="shared" si="0"/>
        <v>0</v>
      </c>
      <c r="P7" s="29">
        <f t="shared" si="0"/>
        <v>0</v>
      </c>
      <c r="Q7" s="29">
        <f t="shared" si="0"/>
        <v>0</v>
      </c>
      <c r="R7" s="29">
        <f t="shared" si="0"/>
        <v>0</v>
      </c>
      <c r="S7" s="29">
        <f t="shared" si="0"/>
        <v>0</v>
      </c>
      <c r="T7" s="29">
        <f t="shared" si="0"/>
        <v>0</v>
      </c>
      <c r="Y7" s="14" t="s">
        <v>67</v>
      </c>
      <c r="Z7" s="29">
        <f>$C72</f>
        <v>0</v>
      </c>
      <c r="AA7" s="29">
        <f>$C73</f>
        <v>0</v>
      </c>
      <c r="AB7" s="29">
        <f>$C74</f>
        <v>0</v>
      </c>
      <c r="AC7" s="29">
        <f>$C75</f>
        <v>0</v>
      </c>
      <c r="AD7" s="29">
        <f>$C76</f>
        <v>0</v>
      </c>
      <c r="AE7" s="29">
        <f>$C77</f>
        <v>0</v>
      </c>
      <c r="AF7" s="29">
        <f>$C78</f>
        <v>0</v>
      </c>
      <c r="AG7" s="29">
        <f>$C79</f>
        <v>0</v>
      </c>
      <c r="AH7" s="29">
        <f>$C80</f>
        <v>0</v>
      </c>
      <c r="AI7" s="29">
        <f>$C81</f>
        <v>0</v>
      </c>
      <c r="AJ7" s="29">
        <f>$C82</f>
        <v>0</v>
      </c>
      <c r="AK7" s="29">
        <f>$C83</f>
        <v>0</v>
      </c>
      <c r="AL7" s="29">
        <f>$C84</f>
        <v>0</v>
      </c>
      <c r="AM7" s="29">
        <f>$C85</f>
        <v>0</v>
      </c>
      <c r="AN7" s="29">
        <f>$C86</f>
        <v>0</v>
      </c>
      <c r="AO7" s="29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AU71"/>
  <sheetViews>
    <sheetView topLeftCell="A9" zoomScale="70" zoomScaleNormal="70" workbookViewId="0">
      <selection activeCell="W61" sqref="W61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8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8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8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9">
        <f>E5+E6</f>
        <v>0</v>
      </c>
      <c r="F7" s="29">
        <f t="shared" ref="F7:T7" si="0">F5+F6</f>
        <v>0</v>
      </c>
      <c r="G7" s="29">
        <f t="shared" si="0"/>
        <v>0</v>
      </c>
      <c r="H7" s="29">
        <f t="shared" si="0"/>
        <v>0</v>
      </c>
      <c r="I7" s="29">
        <f t="shared" si="0"/>
        <v>0</v>
      </c>
      <c r="J7" s="29">
        <f t="shared" si="0"/>
        <v>0</v>
      </c>
      <c r="K7" s="29">
        <f t="shared" si="0"/>
        <v>0</v>
      </c>
      <c r="L7" s="29">
        <f t="shared" si="0"/>
        <v>0</v>
      </c>
      <c r="M7" s="29">
        <f t="shared" si="0"/>
        <v>0</v>
      </c>
      <c r="N7" s="29">
        <f t="shared" si="0"/>
        <v>0</v>
      </c>
      <c r="O7" s="29">
        <f t="shared" si="0"/>
        <v>0</v>
      </c>
      <c r="P7" s="29">
        <f t="shared" si="0"/>
        <v>0</v>
      </c>
      <c r="Q7" s="29">
        <f t="shared" si="0"/>
        <v>0</v>
      </c>
      <c r="R7" s="29">
        <f t="shared" si="0"/>
        <v>0</v>
      </c>
      <c r="S7" s="29">
        <f t="shared" si="0"/>
        <v>0</v>
      </c>
      <c r="T7" s="29">
        <f t="shared" si="0"/>
        <v>0</v>
      </c>
      <c r="Y7" s="14" t="s">
        <v>67</v>
      </c>
      <c r="Z7" s="29">
        <f>$C72</f>
        <v>0</v>
      </c>
      <c r="AA7" s="29">
        <f>$C73</f>
        <v>0</v>
      </c>
      <c r="AB7" s="29">
        <f>$C74</f>
        <v>0</v>
      </c>
      <c r="AC7" s="29">
        <f>$C75</f>
        <v>0</v>
      </c>
      <c r="AD7" s="29">
        <f>$C76</f>
        <v>0</v>
      </c>
      <c r="AE7" s="29">
        <f>$C77</f>
        <v>0</v>
      </c>
      <c r="AF7" s="29">
        <f>$C78</f>
        <v>0</v>
      </c>
      <c r="AG7" s="29">
        <f>$C79</f>
        <v>0</v>
      </c>
      <c r="AH7" s="29">
        <f>$C80</f>
        <v>0</v>
      </c>
      <c r="AI7" s="29">
        <f>$C81</f>
        <v>0</v>
      </c>
      <c r="AJ7" s="29">
        <f>$C82</f>
        <v>0</v>
      </c>
      <c r="AK7" s="29">
        <f>$C83</f>
        <v>0</v>
      </c>
      <c r="AL7" s="29">
        <f>$C84</f>
        <v>0</v>
      </c>
      <c r="AM7" s="29">
        <f>$C85</f>
        <v>0</v>
      </c>
      <c r="AN7" s="29">
        <f>$C86</f>
        <v>0</v>
      </c>
      <c r="AO7" s="29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AU71"/>
  <sheetViews>
    <sheetView topLeftCell="A9" zoomScale="70" zoomScaleNormal="70" workbookViewId="0">
      <selection activeCell="W61" sqref="W61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8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8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8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9">
        <f>E5+E6</f>
        <v>0</v>
      </c>
      <c r="F7" s="29">
        <f t="shared" ref="F7:T7" si="0">F5+F6</f>
        <v>0</v>
      </c>
      <c r="G7" s="29">
        <f t="shared" si="0"/>
        <v>0</v>
      </c>
      <c r="H7" s="29">
        <f t="shared" si="0"/>
        <v>0</v>
      </c>
      <c r="I7" s="29">
        <f t="shared" si="0"/>
        <v>0</v>
      </c>
      <c r="J7" s="29">
        <f t="shared" si="0"/>
        <v>0</v>
      </c>
      <c r="K7" s="29">
        <f t="shared" si="0"/>
        <v>0</v>
      </c>
      <c r="L7" s="29">
        <f t="shared" si="0"/>
        <v>0</v>
      </c>
      <c r="M7" s="29">
        <f t="shared" si="0"/>
        <v>0</v>
      </c>
      <c r="N7" s="29">
        <f t="shared" si="0"/>
        <v>0</v>
      </c>
      <c r="O7" s="29">
        <f t="shared" si="0"/>
        <v>0</v>
      </c>
      <c r="P7" s="29">
        <f t="shared" si="0"/>
        <v>0</v>
      </c>
      <c r="Q7" s="29">
        <f t="shared" si="0"/>
        <v>0</v>
      </c>
      <c r="R7" s="29">
        <f t="shared" si="0"/>
        <v>0</v>
      </c>
      <c r="S7" s="29">
        <f t="shared" si="0"/>
        <v>0</v>
      </c>
      <c r="T7" s="29">
        <f t="shared" si="0"/>
        <v>0</v>
      </c>
      <c r="Y7" s="14" t="s">
        <v>67</v>
      </c>
      <c r="Z7" s="29">
        <f>$C72</f>
        <v>0</v>
      </c>
      <c r="AA7" s="29">
        <f>$C73</f>
        <v>0</v>
      </c>
      <c r="AB7" s="29">
        <f>$C74</f>
        <v>0</v>
      </c>
      <c r="AC7" s="29">
        <f>$C75</f>
        <v>0</v>
      </c>
      <c r="AD7" s="29">
        <f>$C76</f>
        <v>0</v>
      </c>
      <c r="AE7" s="29">
        <f>$C77</f>
        <v>0</v>
      </c>
      <c r="AF7" s="29">
        <f>$C78</f>
        <v>0</v>
      </c>
      <c r="AG7" s="29">
        <f>$C79</f>
        <v>0</v>
      </c>
      <c r="AH7" s="29">
        <f>$C80</f>
        <v>0</v>
      </c>
      <c r="AI7" s="29">
        <f>$C81</f>
        <v>0</v>
      </c>
      <c r="AJ7" s="29">
        <f>$C82</f>
        <v>0</v>
      </c>
      <c r="AK7" s="29">
        <f>$C83</f>
        <v>0</v>
      </c>
      <c r="AL7" s="29">
        <f>$C84</f>
        <v>0</v>
      </c>
      <c r="AM7" s="29">
        <f>$C85</f>
        <v>0</v>
      </c>
      <c r="AN7" s="29">
        <f>$C86</f>
        <v>0</v>
      </c>
      <c r="AO7" s="29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AU71"/>
  <sheetViews>
    <sheetView topLeftCell="A9" zoomScale="70" zoomScaleNormal="70" workbookViewId="0">
      <selection activeCell="W61" sqref="W61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8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8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8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9">
        <f>E5+E6</f>
        <v>0</v>
      </c>
      <c r="F7" s="29">
        <f t="shared" ref="F7:T7" si="0">F5+F6</f>
        <v>0</v>
      </c>
      <c r="G7" s="29">
        <f t="shared" si="0"/>
        <v>0</v>
      </c>
      <c r="H7" s="29">
        <f t="shared" si="0"/>
        <v>0</v>
      </c>
      <c r="I7" s="29">
        <f t="shared" si="0"/>
        <v>0</v>
      </c>
      <c r="J7" s="29">
        <f t="shared" si="0"/>
        <v>0</v>
      </c>
      <c r="K7" s="29">
        <f t="shared" si="0"/>
        <v>0</v>
      </c>
      <c r="L7" s="29">
        <f t="shared" si="0"/>
        <v>0</v>
      </c>
      <c r="M7" s="29">
        <f t="shared" si="0"/>
        <v>0</v>
      </c>
      <c r="N7" s="29">
        <f t="shared" si="0"/>
        <v>0</v>
      </c>
      <c r="O7" s="29">
        <f t="shared" si="0"/>
        <v>0</v>
      </c>
      <c r="P7" s="29">
        <f t="shared" si="0"/>
        <v>0</v>
      </c>
      <c r="Q7" s="29">
        <f t="shared" si="0"/>
        <v>0</v>
      </c>
      <c r="R7" s="29">
        <f t="shared" si="0"/>
        <v>0</v>
      </c>
      <c r="S7" s="29">
        <f t="shared" si="0"/>
        <v>0</v>
      </c>
      <c r="T7" s="29">
        <f t="shared" si="0"/>
        <v>0</v>
      </c>
      <c r="Y7" s="14" t="s">
        <v>67</v>
      </c>
      <c r="Z7" s="29">
        <f>$C72</f>
        <v>0</v>
      </c>
      <c r="AA7" s="29">
        <f>$C73</f>
        <v>0</v>
      </c>
      <c r="AB7" s="29">
        <f>$C74</f>
        <v>0</v>
      </c>
      <c r="AC7" s="29">
        <f>$C75</f>
        <v>0</v>
      </c>
      <c r="AD7" s="29">
        <f>$C76</f>
        <v>0</v>
      </c>
      <c r="AE7" s="29">
        <f>$C77</f>
        <v>0</v>
      </c>
      <c r="AF7" s="29">
        <f>$C78</f>
        <v>0</v>
      </c>
      <c r="AG7" s="29">
        <f>$C79</f>
        <v>0</v>
      </c>
      <c r="AH7" s="29">
        <f>$C80</f>
        <v>0</v>
      </c>
      <c r="AI7" s="29">
        <f>$C81</f>
        <v>0</v>
      </c>
      <c r="AJ7" s="29">
        <f>$C82</f>
        <v>0</v>
      </c>
      <c r="AK7" s="29">
        <f>$C83</f>
        <v>0</v>
      </c>
      <c r="AL7" s="29">
        <f>$C84</f>
        <v>0</v>
      </c>
      <c r="AM7" s="29">
        <f>$C85</f>
        <v>0</v>
      </c>
      <c r="AN7" s="29">
        <f>$C86</f>
        <v>0</v>
      </c>
      <c r="AO7" s="29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2:AU71"/>
  <sheetViews>
    <sheetView topLeftCell="A9" zoomScale="70" zoomScaleNormal="70" workbookViewId="0">
      <selection activeCell="T57" sqref="T57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8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8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8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9">
        <f>E5+E6</f>
        <v>0</v>
      </c>
      <c r="F7" s="29">
        <f t="shared" ref="F7:T7" si="0">F5+F6</f>
        <v>0</v>
      </c>
      <c r="G7" s="29">
        <f t="shared" si="0"/>
        <v>0</v>
      </c>
      <c r="H7" s="29">
        <f t="shared" si="0"/>
        <v>0</v>
      </c>
      <c r="I7" s="29">
        <f t="shared" si="0"/>
        <v>0</v>
      </c>
      <c r="J7" s="29">
        <f t="shared" si="0"/>
        <v>0</v>
      </c>
      <c r="K7" s="29">
        <f t="shared" si="0"/>
        <v>0</v>
      </c>
      <c r="L7" s="29">
        <f t="shared" si="0"/>
        <v>0</v>
      </c>
      <c r="M7" s="29">
        <f t="shared" si="0"/>
        <v>0</v>
      </c>
      <c r="N7" s="29">
        <f t="shared" si="0"/>
        <v>0</v>
      </c>
      <c r="O7" s="29">
        <f t="shared" si="0"/>
        <v>0</v>
      </c>
      <c r="P7" s="29">
        <f t="shared" si="0"/>
        <v>0</v>
      </c>
      <c r="Q7" s="29">
        <f t="shared" si="0"/>
        <v>0</v>
      </c>
      <c r="R7" s="29">
        <f t="shared" si="0"/>
        <v>0</v>
      </c>
      <c r="S7" s="29">
        <f t="shared" si="0"/>
        <v>0</v>
      </c>
      <c r="T7" s="29">
        <f t="shared" si="0"/>
        <v>0</v>
      </c>
      <c r="Y7" s="14" t="s">
        <v>67</v>
      </c>
      <c r="Z7" s="29">
        <f>$C72</f>
        <v>0</v>
      </c>
      <c r="AA7" s="29">
        <f>$C73</f>
        <v>0</v>
      </c>
      <c r="AB7" s="29">
        <f>$C74</f>
        <v>0</v>
      </c>
      <c r="AC7" s="29">
        <f>$C75</f>
        <v>0</v>
      </c>
      <c r="AD7" s="29">
        <f>$C76</f>
        <v>0</v>
      </c>
      <c r="AE7" s="29">
        <f>$C77</f>
        <v>0</v>
      </c>
      <c r="AF7" s="29">
        <f>$C78</f>
        <v>0</v>
      </c>
      <c r="AG7" s="29">
        <f>$C79</f>
        <v>0</v>
      </c>
      <c r="AH7" s="29">
        <f>$C80</f>
        <v>0</v>
      </c>
      <c r="AI7" s="29">
        <f>$C81</f>
        <v>0</v>
      </c>
      <c r="AJ7" s="29">
        <f>$C82</f>
        <v>0</v>
      </c>
      <c r="AK7" s="29">
        <f>$C83</f>
        <v>0</v>
      </c>
      <c r="AL7" s="29">
        <f>$C84</f>
        <v>0</v>
      </c>
      <c r="AM7" s="29">
        <f>$C85</f>
        <v>0</v>
      </c>
      <c r="AN7" s="29">
        <f>$C86</f>
        <v>0</v>
      </c>
      <c r="AO7" s="29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AU71"/>
  <sheetViews>
    <sheetView topLeftCell="A9" zoomScale="70" zoomScaleNormal="70" workbookViewId="0">
      <selection activeCell="W61" sqref="W61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8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8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8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9">
        <f>E5+E6</f>
        <v>0</v>
      </c>
      <c r="F7" s="29">
        <f t="shared" ref="F7:T7" si="0">F5+F6</f>
        <v>0</v>
      </c>
      <c r="G7" s="29">
        <f t="shared" si="0"/>
        <v>0</v>
      </c>
      <c r="H7" s="29">
        <f t="shared" si="0"/>
        <v>0</v>
      </c>
      <c r="I7" s="29">
        <f t="shared" si="0"/>
        <v>0</v>
      </c>
      <c r="J7" s="29">
        <f t="shared" si="0"/>
        <v>0</v>
      </c>
      <c r="K7" s="29">
        <f t="shared" si="0"/>
        <v>0</v>
      </c>
      <c r="L7" s="29">
        <f t="shared" si="0"/>
        <v>0</v>
      </c>
      <c r="M7" s="29">
        <f t="shared" si="0"/>
        <v>0</v>
      </c>
      <c r="N7" s="29">
        <f t="shared" si="0"/>
        <v>0</v>
      </c>
      <c r="O7" s="29">
        <f t="shared" si="0"/>
        <v>0</v>
      </c>
      <c r="P7" s="29">
        <f t="shared" si="0"/>
        <v>0</v>
      </c>
      <c r="Q7" s="29">
        <f t="shared" si="0"/>
        <v>0</v>
      </c>
      <c r="R7" s="29">
        <f t="shared" si="0"/>
        <v>0</v>
      </c>
      <c r="S7" s="29">
        <f t="shared" si="0"/>
        <v>0</v>
      </c>
      <c r="T7" s="29">
        <f t="shared" si="0"/>
        <v>0</v>
      </c>
      <c r="Y7" s="14" t="s">
        <v>67</v>
      </c>
      <c r="Z7" s="29">
        <f>$C72</f>
        <v>0</v>
      </c>
      <c r="AA7" s="29">
        <f>$C73</f>
        <v>0</v>
      </c>
      <c r="AB7" s="29">
        <f>$C74</f>
        <v>0</v>
      </c>
      <c r="AC7" s="29">
        <f>$C75</f>
        <v>0</v>
      </c>
      <c r="AD7" s="29">
        <f>$C76</f>
        <v>0</v>
      </c>
      <c r="AE7" s="29">
        <f>$C77</f>
        <v>0</v>
      </c>
      <c r="AF7" s="29">
        <f>$C78</f>
        <v>0</v>
      </c>
      <c r="AG7" s="29">
        <f>$C79</f>
        <v>0</v>
      </c>
      <c r="AH7" s="29">
        <f>$C80</f>
        <v>0</v>
      </c>
      <c r="AI7" s="29">
        <f>$C81</f>
        <v>0</v>
      </c>
      <c r="AJ7" s="29">
        <f>$C82</f>
        <v>0</v>
      </c>
      <c r="AK7" s="29">
        <f>$C83</f>
        <v>0</v>
      </c>
      <c r="AL7" s="29">
        <f>$C84</f>
        <v>0</v>
      </c>
      <c r="AM7" s="29">
        <f>$C85</f>
        <v>0</v>
      </c>
      <c r="AN7" s="29">
        <f>$C86</f>
        <v>0</v>
      </c>
      <c r="AO7" s="29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AU71"/>
  <sheetViews>
    <sheetView topLeftCell="A9" zoomScale="70" zoomScaleNormal="70" workbookViewId="0">
      <selection activeCell="R61" sqref="R61"/>
    </sheetView>
  </sheetViews>
  <sheetFormatPr defaultRowHeight="15" x14ac:dyDescent="0.25"/>
  <cols>
    <col min="2" max="2" width="12" customWidth="1"/>
  </cols>
  <sheetData>
    <row r="2" spans="4:47" x14ac:dyDescent="0.25">
      <c r="D2" s="14" t="s">
        <v>3</v>
      </c>
      <c r="E2" s="12">
        <f>$E52</f>
        <v>0</v>
      </c>
      <c r="F2" s="12">
        <f>$E53</f>
        <v>0</v>
      </c>
      <c r="G2" s="12">
        <f>$E54</f>
        <v>0</v>
      </c>
      <c r="H2" s="12">
        <f>$E55</f>
        <v>0</v>
      </c>
      <c r="I2" s="12">
        <f>$E56</f>
        <v>0</v>
      </c>
      <c r="J2" s="12">
        <f>$E57</f>
        <v>0</v>
      </c>
      <c r="K2" s="12">
        <f>$E58</f>
        <v>0</v>
      </c>
      <c r="L2" s="12">
        <f>$E59</f>
        <v>0</v>
      </c>
      <c r="M2" s="12">
        <f>$E60</f>
        <v>0</v>
      </c>
      <c r="N2" s="12">
        <f>$E61</f>
        <v>0</v>
      </c>
      <c r="O2" s="12">
        <f>$E62</f>
        <v>0</v>
      </c>
      <c r="P2" s="12">
        <f>$E63</f>
        <v>0</v>
      </c>
      <c r="Q2" s="12">
        <f>$E64</f>
        <v>0</v>
      </c>
      <c r="R2" s="12">
        <f>$E65</f>
        <v>0</v>
      </c>
      <c r="S2" s="12">
        <f>$E66</f>
        <v>0</v>
      </c>
      <c r="T2" s="12">
        <f>$E67</f>
        <v>0</v>
      </c>
      <c r="Y2" s="14" t="s">
        <v>3</v>
      </c>
      <c r="Z2" s="12">
        <f>$E52</f>
        <v>0</v>
      </c>
      <c r="AA2" s="12">
        <f>$E53</f>
        <v>0</v>
      </c>
      <c r="AB2" s="12">
        <f>$E54</f>
        <v>0</v>
      </c>
      <c r="AC2" s="12">
        <f>$E55</f>
        <v>0</v>
      </c>
      <c r="AD2" s="12">
        <f>$E56</f>
        <v>0</v>
      </c>
      <c r="AE2" s="12">
        <f>$E57</f>
        <v>0</v>
      </c>
      <c r="AF2" s="12">
        <f>$E58</f>
        <v>0</v>
      </c>
      <c r="AG2" s="12">
        <f>$E59</f>
        <v>0</v>
      </c>
      <c r="AH2" s="12">
        <f>$E60</f>
        <v>0</v>
      </c>
      <c r="AI2" s="12">
        <f>$E61</f>
        <v>0</v>
      </c>
      <c r="AJ2" s="12">
        <f>$E62</f>
        <v>0</v>
      </c>
      <c r="AK2" s="12">
        <f>$E63</f>
        <v>0</v>
      </c>
      <c r="AL2" s="12">
        <f>$E64</f>
        <v>0</v>
      </c>
      <c r="AM2" s="12">
        <f>$E65</f>
        <v>0</v>
      </c>
      <c r="AN2" s="12">
        <f>$E66</f>
        <v>0</v>
      </c>
      <c r="AO2" s="12">
        <f>$E67</f>
        <v>0</v>
      </c>
    </row>
    <row r="3" spans="4:47" x14ac:dyDescent="0.25">
      <c r="D3" s="28" t="s">
        <v>142</v>
      </c>
      <c r="E3" s="30" t="s">
        <v>143</v>
      </c>
      <c r="F3" s="31"/>
      <c r="G3" s="31"/>
      <c r="H3" s="32"/>
      <c r="I3" s="30" t="s">
        <v>144</v>
      </c>
      <c r="J3" s="31"/>
      <c r="K3" s="31"/>
      <c r="L3" s="32"/>
      <c r="M3" s="30" t="s">
        <v>145</v>
      </c>
      <c r="N3" s="31"/>
      <c r="O3" s="31"/>
      <c r="P3" s="32"/>
      <c r="Q3" s="30" t="s">
        <v>146</v>
      </c>
      <c r="R3" s="31"/>
      <c r="S3" s="31"/>
      <c r="T3" s="32"/>
      <c r="Y3" s="28"/>
      <c r="Z3" s="16"/>
      <c r="AA3" s="17"/>
      <c r="AB3" s="16"/>
      <c r="AC3" s="17"/>
      <c r="AD3" s="16"/>
      <c r="AE3" s="17"/>
      <c r="AF3" s="16"/>
      <c r="AG3" s="17"/>
      <c r="AH3" s="16"/>
      <c r="AI3" s="17"/>
      <c r="AJ3" s="12"/>
      <c r="AK3" s="12"/>
      <c r="AL3" s="12"/>
      <c r="AM3" s="12"/>
      <c r="AN3" s="12"/>
      <c r="AO3" s="12"/>
    </row>
    <row r="4" spans="4:47" x14ac:dyDescent="0.25">
      <c r="D4" s="14" t="s">
        <v>66</v>
      </c>
      <c r="E4" s="18" t="str">
        <f>$A52</f>
        <v>50m</v>
      </c>
      <c r="F4" s="18" t="str">
        <f>$A53</f>
        <v>100m</v>
      </c>
      <c r="G4" s="18" t="str">
        <f>$A54</f>
        <v>200m</v>
      </c>
      <c r="H4" s="18" t="str">
        <f>$A55</f>
        <v>400m</v>
      </c>
      <c r="I4" s="18" t="str">
        <f>$A56</f>
        <v>50m</v>
      </c>
      <c r="J4" s="18" t="str">
        <f>$A57</f>
        <v>100m</v>
      </c>
      <c r="K4" s="18" t="str">
        <f>$A58</f>
        <v>200m</v>
      </c>
      <c r="L4" s="18" t="str">
        <f>$A59</f>
        <v>400m</v>
      </c>
      <c r="M4" s="18" t="str">
        <f>$A60</f>
        <v>50m</v>
      </c>
      <c r="N4" s="18" t="str">
        <f>$A61</f>
        <v>100m</v>
      </c>
      <c r="O4" s="18" t="str">
        <f>$A62</f>
        <v>200m</v>
      </c>
      <c r="P4" s="18" t="str">
        <f>$A63</f>
        <v>400m</v>
      </c>
      <c r="Q4" s="18" t="str">
        <f>$A64</f>
        <v>50m</v>
      </c>
      <c r="R4" s="18" t="str">
        <f>$A65</f>
        <v>100m</v>
      </c>
      <c r="S4" s="18" t="str">
        <f>$A66</f>
        <v>200m</v>
      </c>
      <c r="T4" s="18" t="str">
        <f>$A67</f>
        <v>400m</v>
      </c>
      <c r="Y4" s="28" t="s">
        <v>66</v>
      </c>
      <c r="Z4" s="34" t="s">
        <v>0</v>
      </c>
      <c r="AA4" s="35"/>
      <c r="AB4" s="34" t="s">
        <v>6</v>
      </c>
      <c r="AC4" s="35"/>
      <c r="AD4" s="34" t="s">
        <v>28</v>
      </c>
      <c r="AE4" s="35"/>
      <c r="AF4" s="34" t="s">
        <v>65</v>
      </c>
      <c r="AG4" s="35"/>
      <c r="AH4" s="34" t="s">
        <v>0</v>
      </c>
      <c r="AI4" s="35"/>
      <c r="AJ4" s="33" t="s">
        <v>6</v>
      </c>
      <c r="AK4" s="33"/>
      <c r="AL4" s="33" t="s">
        <v>28</v>
      </c>
      <c r="AM4" s="33"/>
      <c r="AN4" s="33" t="s">
        <v>65</v>
      </c>
      <c r="AO4" s="33"/>
    </row>
    <row r="5" spans="4:47" x14ac:dyDescent="0.25">
      <c r="D5" s="14" t="s">
        <v>4</v>
      </c>
      <c r="E5" s="14">
        <f>$F52</f>
        <v>0</v>
      </c>
      <c r="F5" s="14">
        <f>$F53</f>
        <v>0</v>
      </c>
      <c r="G5" s="14">
        <f>$F54</f>
        <v>0</v>
      </c>
      <c r="H5" s="14">
        <f>$F55</f>
        <v>0</v>
      </c>
      <c r="I5" s="14">
        <f>$F56</f>
        <v>0</v>
      </c>
      <c r="J5" s="14">
        <f>$F57</f>
        <v>0</v>
      </c>
      <c r="K5" s="14">
        <f>$F58</f>
        <v>0</v>
      </c>
      <c r="L5" s="14">
        <f>$F59</f>
        <v>0</v>
      </c>
      <c r="M5" s="14">
        <f>$F60</f>
        <v>0</v>
      </c>
      <c r="N5" s="14">
        <f>$F61</f>
        <v>0</v>
      </c>
      <c r="O5" s="14">
        <f>$F62</f>
        <v>0</v>
      </c>
      <c r="P5" s="14">
        <f>$F63</f>
        <v>0</v>
      </c>
      <c r="Q5" s="14">
        <f>$F64</f>
        <v>0</v>
      </c>
      <c r="R5" s="14">
        <f>$F65</f>
        <v>0</v>
      </c>
      <c r="S5" s="14">
        <f>$F66</f>
        <v>0</v>
      </c>
      <c r="T5" s="14">
        <f>$F67</f>
        <v>0</v>
      </c>
      <c r="Y5" s="14" t="s">
        <v>4</v>
      </c>
      <c r="Z5" s="13">
        <f>$F72</f>
        <v>0</v>
      </c>
      <c r="AA5" s="13">
        <f>$F73</f>
        <v>0</v>
      </c>
      <c r="AB5" s="13">
        <f>$F74</f>
        <v>0</v>
      </c>
      <c r="AC5" s="13">
        <f>$F75</f>
        <v>0</v>
      </c>
      <c r="AD5" s="13">
        <f>$F76</f>
        <v>0</v>
      </c>
      <c r="AE5" s="13">
        <f>$F77</f>
        <v>0</v>
      </c>
      <c r="AF5" s="13">
        <f>$F78</f>
        <v>0</v>
      </c>
      <c r="AG5" s="13">
        <f>$F79</f>
        <v>0</v>
      </c>
      <c r="AH5" s="13">
        <f>$F80</f>
        <v>0</v>
      </c>
      <c r="AI5" s="13">
        <f>$F81</f>
        <v>0</v>
      </c>
      <c r="AJ5" s="13">
        <f>$F82</f>
        <v>0</v>
      </c>
      <c r="AK5" s="13">
        <f>$F83</f>
        <v>0</v>
      </c>
      <c r="AL5" s="13">
        <f>$F84</f>
        <v>0</v>
      </c>
      <c r="AM5" s="13">
        <f>$F85</f>
        <v>0</v>
      </c>
      <c r="AN5" s="13">
        <f>$F86</f>
        <v>0</v>
      </c>
      <c r="AO5" s="13">
        <f>$F87</f>
        <v>0</v>
      </c>
    </row>
    <row r="6" spans="4:47" x14ac:dyDescent="0.25">
      <c r="D6" s="14" t="s">
        <v>5</v>
      </c>
      <c r="E6" s="14">
        <f>$G52</f>
        <v>0</v>
      </c>
      <c r="F6" s="14">
        <f>$G53</f>
        <v>0</v>
      </c>
      <c r="G6" s="14">
        <f>$G54</f>
        <v>0</v>
      </c>
      <c r="H6" s="14">
        <f>$G55</f>
        <v>0</v>
      </c>
      <c r="I6" s="14">
        <f>$G56</f>
        <v>0</v>
      </c>
      <c r="J6" s="14">
        <f>$G57</f>
        <v>0</v>
      </c>
      <c r="K6" s="14">
        <f>$G58</f>
        <v>0</v>
      </c>
      <c r="L6" s="14">
        <f>$G59</f>
        <v>0</v>
      </c>
      <c r="M6" s="14">
        <f>$G60</f>
        <v>0</v>
      </c>
      <c r="N6" s="14">
        <f>$G61</f>
        <v>0</v>
      </c>
      <c r="O6" s="14">
        <f>$G62</f>
        <v>0</v>
      </c>
      <c r="P6" s="14">
        <f>$G63</f>
        <v>0</v>
      </c>
      <c r="Q6" s="14">
        <f>$G64</f>
        <v>0</v>
      </c>
      <c r="R6" s="14">
        <f>$G65</f>
        <v>0</v>
      </c>
      <c r="S6" s="14">
        <f>$G66</f>
        <v>0</v>
      </c>
      <c r="T6" s="14">
        <f>$G67</f>
        <v>0</v>
      </c>
      <c r="Y6" s="14" t="s">
        <v>5</v>
      </c>
      <c r="Z6" s="14">
        <f>$G72</f>
        <v>0</v>
      </c>
      <c r="AA6" s="14">
        <f>$G73</f>
        <v>0</v>
      </c>
      <c r="AB6" s="14">
        <f>$G74</f>
        <v>0</v>
      </c>
      <c r="AC6" s="14">
        <f>$G75</f>
        <v>0</v>
      </c>
      <c r="AD6" s="14">
        <f>$G76</f>
        <v>0</v>
      </c>
      <c r="AE6" s="14">
        <f>$G77</f>
        <v>0</v>
      </c>
      <c r="AF6" s="14">
        <f>$G78</f>
        <v>0</v>
      </c>
      <c r="AG6" s="14">
        <f>$G79</f>
        <v>0</v>
      </c>
      <c r="AH6" s="14">
        <f>$G80</f>
        <v>0</v>
      </c>
      <c r="AI6" s="14">
        <f>$G81</f>
        <v>0</v>
      </c>
      <c r="AJ6" s="14">
        <f>$G82</f>
        <v>0</v>
      </c>
      <c r="AK6" s="14">
        <f>$G83</f>
        <v>0</v>
      </c>
      <c r="AL6" s="14">
        <f>$G84</f>
        <v>0</v>
      </c>
      <c r="AM6" s="14">
        <f>$G85</f>
        <v>0</v>
      </c>
      <c r="AN6" s="14">
        <f>$G86</f>
        <v>0</v>
      </c>
      <c r="AO6" s="14">
        <f>$G87</f>
        <v>0</v>
      </c>
    </row>
    <row r="7" spans="4:47" x14ac:dyDescent="0.25">
      <c r="D7" s="14" t="s">
        <v>67</v>
      </c>
      <c r="E7" s="29">
        <f>E5+E6</f>
        <v>0</v>
      </c>
      <c r="F7" s="29">
        <f t="shared" ref="F7:T7" si="0">F5+F6</f>
        <v>0</v>
      </c>
      <c r="G7" s="29">
        <f t="shared" si="0"/>
        <v>0</v>
      </c>
      <c r="H7" s="29">
        <f t="shared" si="0"/>
        <v>0</v>
      </c>
      <c r="I7" s="29">
        <f t="shared" si="0"/>
        <v>0</v>
      </c>
      <c r="J7" s="29">
        <f t="shared" si="0"/>
        <v>0</v>
      </c>
      <c r="K7" s="29">
        <f t="shared" si="0"/>
        <v>0</v>
      </c>
      <c r="L7" s="29">
        <f t="shared" si="0"/>
        <v>0</v>
      </c>
      <c r="M7" s="29">
        <f t="shared" si="0"/>
        <v>0</v>
      </c>
      <c r="N7" s="29">
        <f t="shared" si="0"/>
        <v>0</v>
      </c>
      <c r="O7" s="29">
        <f t="shared" si="0"/>
        <v>0</v>
      </c>
      <c r="P7" s="29">
        <f t="shared" si="0"/>
        <v>0</v>
      </c>
      <c r="Q7" s="29">
        <f t="shared" si="0"/>
        <v>0</v>
      </c>
      <c r="R7" s="29">
        <f t="shared" si="0"/>
        <v>0</v>
      </c>
      <c r="S7" s="29">
        <f t="shared" si="0"/>
        <v>0</v>
      </c>
      <c r="T7" s="29">
        <f t="shared" si="0"/>
        <v>0</v>
      </c>
      <c r="Y7" s="14" t="s">
        <v>67</v>
      </c>
      <c r="Z7" s="29">
        <f>$C72</f>
        <v>0</v>
      </c>
      <c r="AA7" s="29">
        <f>$C73</f>
        <v>0</v>
      </c>
      <c r="AB7" s="29">
        <f>$C74</f>
        <v>0</v>
      </c>
      <c r="AC7" s="29">
        <f>$C75</f>
        <v>0</v>
      </c>
      <c r="AD7" s="29">
        <f>$C76</f>
        <v>0</v>
      </c>
      <c r="AE7" s="29">
        <f>$C77</f>
        <v>0</v>
      </c>
      <c r="AF7" s="29">
        <f>$C78</f>
        <v>0</v>
      </c>
      <c r="AG7" s="29">
        <f>$C79</f>
        <v>0</v>
      </c>
      <c r="AH7" s="29">
        <f>$C80</f>
        <v>0</v>
      </c>
      <c r="AI7" s="29">
        <f>$C81</f>
        <v>0</v>
      </c>
      <c r="AJ7" s="29">
        <f>$C82</f>
        <v>0</v>
      </c>
      <c r="AK7" s="29">
        <f>$C83</f>
        <v>0</v>
      </c>
      <c r="AL7" s="29">
        <f>$C84</f>
        <v>0</v>
      </c>
      <c r="AM7" s="29">
        <f>$C85</f>
        <v>0</v>
      </c>
      <c r="AN7" s="29">
        <f>$C86</f>
        <v>0</v>
      </c>
      <c r="AO7" s="29">
        <f>$C87</f>
        <v>0</v>
      </c>
    </row>
    <row r="8" spans="4:47" x14ac:dyDescent="0.25">
      <c r="D8" s="25" t="s">
        <v>33</v>
      </c>
      <c r="E8" s="26">
        <f>$H52/10</f>
        <v>0</v>
      </c>
      <c r="F8" s="26">
        <f>$H53/10</f>
        <v>0</v>
      </c>
      <c r="G8" s="26">
        <f>$H54/10</f>
        <v>0</v>
      </c>
      <c r="H8" s="26">
        <f>$H55/10</f>
        <v>0</v>
      </c>
      <c r="I8" s="26">
        <f>$H56/10</f>
        <v>0</v>
      </c>
      <c r="J8" s="26">
        <f>$H57/10</f>
        <v>0</v>
      </c>
      <c r="K8" s="26">
        <f>$H58/10</f>
        <v>0</v>
      </c>
      <c r="L8" s="26">
        <f>$H59/10</f>
        <v>0</v>
      </c>
      <c r="M8" s="26">
        <f>$H60/10</f>
        <v>0</v>
      </c>
      <c r="N8" s="26">
        <f>$H61/10</f>
        <v>0</v>
      </c>
      <c r="O8" s="26">
        <f>$H62/10</f>
        <v>0</v>
      </c>
      <c r="P8" s="26">
        <f>$H63/10</f>
        <v>0</v>
      </c>
      <c r="Q8" s="26">
        <f>$H64/10</f>
        <v>0</v>
      </c>
      <c r="R8" s="26">
        <f>$H65/10</f>
        <v>0</v>
      </c>
      <c r="S8" s="26">
        <f>$H66/10</f>
        <v>0</v>
      </c>
      <c r="T8" s="26">
        <f>$H67/10</f>
        <v>0</v>
      </c>
      <c r="U8" s="4"/>
      <c r="V8" s="4"/>
      <c r="W8" s="4"/>
      <c r="X8" s="4"/>
      <c r="Y8" s="4"/>
      <c r="AD8" s="3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4:47" x14ac:dyDescent="0.25">
      <c r="D9" s="25" t="s">
        <v>34</v>
      </c>
      <c r="E9" s="26">
        <f>$I52/10</f>
        <v>0</v>
      </c>
      <c r="F9" s="26">
        <f>$I53/10</f>
        <v>0</v>
      </c>
      <c r="G9" s="26">
        <f>$I54/10</f>
        <v>0</v>
      </c>
      <c r="H9" s="26">
        <f>$I55/10</f>
        <v>0</v>
      </c>
      <c r="I9" s="26">
        <f>$I56/10</f>
        <v>0</v>
      </c>
      <c r="J9" s="26">
        <f>$I57/10</f>
        <v>0</v>
      </c>
      <c r="K9" s="26">
        <f>$I58/10</f>
        <v>0</v>
      </c>
      <c r="L9" s="26">
        <f>$I59/10</f>
        <v>0</v>
      </c>
      <c r="M9" s="26">
        <f>$I60/10</f>
        <v>0</v>
      </c>
      <c r="N9" s="26">
        <f>$I61/10</f>
        <v>0</v>
      </c>
      <c r="O9" s="26">
        <f>$I62/10</f>
        <v>0</v>
      </c>
      <c r="P9" s="26">
        <f>$I63/10</f>
        <v>0</v>
      </c>
      <c r="Q9" s="26">
        <f>$I64/10</f>
        <v>0</v>
      </c>
      <c r="R9" s="26">
        <f>$I65/10</f>
        <v>0</v>
      </c>
      <c r="S9" s="26">
        <f>$I66/10</f>
        <v>0</v>
      </c>
      <c r="T9" s="26">
        <f>$I67/10</f>
        <v>0</v>
      </c>
      <c r="U9" s="4"/>
      <c r="V9" s="4"/>
      <c r="W9" s="4"/>
      <c r="X9" s="4"/>
      <c r="Y9" s="4"/>
      <c r="AD9" s="3"/>
    </row>
    <row r="10" spans="4:47" x14ac:dyDescent="0.25">
      <c r="I10" s="5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D10" s="3"/>
    </row>
    <row r="11" spans="4:47" x14ac:dyDescent="0.25">
      <c r="I11" s="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D11" s="3"/>
    </row>
    <row r="12" spans="4:47" x14ac:dyDescent="0.25">
      <c r="I12" s="5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D12" s="3"/>
    </row>
    <row r="13" spans="4:47" x14ac:dyDescent="0.25">
      <c r="I13" s="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AD13" s="3"/>
    </row>
    <row r="14" spans="4:47" x14ac:dyDescent="0.25">
      <c r="I14" s="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AD14" s="3"/>
    </row>
    <row r="15" spans="4:47" x14ac:dyDescent="0.25">
      <c r="I15" s="5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AD15" s="3"/>
    </row>
    <row r="16" spans="4:47" x14ac:dyDescent="0.25">
      <c r="I16" s="5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AD16" s="3"/>
    </row>
    <row r="17" spans="9:30" x14ac:dyDescent="0.25">
      <c r="I17" s="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AD17" s="3"/>
    </row>
    <row r="18" spans="9:30" x14ac:dyDescent="0.25"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D18" s="3"/>
    </row>
    <row r="19" spans="9:30" x14ac:dyDescent="0.25"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D19" s="3"/>
    </row>
    <row r="20" spans="9:30" x14ac:dyDescent="0.25">
      <c r="I20" s="5"/>
      <c r="AD20" s="3"/>
    </row>
    <row r="21" spans="9:30" x14ac:dyDescent="0.25">
      <c r="I21" s="5"/>
    </row>
    <row r="22" spans="9:30" x14ac:dyDescent="0.25">
      <c r="I22" s="6"/>
    </row>
    <row r="23" spans="9:30" x14ac:dyDescent="0.25">
      <c r="I23" s="6"/>
    </row>
    <row r="24" spans="9:30" x14ac:dyDescent="0.25">
      <c r="I24" s="6"/>
    </row>
    <row r="25" spans="9:30" x14ac:dyDescent="0.25">
      <c r="I25" s="6"/>
    </row>
    <row r="26" spans="9:30" x14ac:dyDescent="0.25">
      <c r="I26" s="6"/>
    </row>
    <row r="27" spans="9:30" x14ac:dyDescent="0.25">
      <c r="I27" s="6"/>
    </row>
    <row r="28" spans="9:30" x14ac:dyDescent="0.25">
      <c r="I28" s="6"/>
    </row>
    <row r="29" spans="9:30" x14ac:dyDescent="0.25">
      <c r="I29" s="6"/>
    </row>
    <row r="30" spans="9:30" x14ac:dyDescent="0.25">
      <c r="I30" s="6"/>
    </row>
    <row r="31" spans="9:30" x14ac:dyDescent="0.25">
      <c r="I31" s="6"/>
    </row>
    <row r="32" spans="9:30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51" spans="1:43" x14ac:dyDescent="0.25">
      <c r="A51" t="s">
        <v>68</v>
      </c>
      <c r="B51" t="s">
        <v>125</v>
      </c>
      <c r="C51" s="3" t="s">
        <v>63</v>
      </c>
      <c r="D51" t="s">
        <v>29</v>
      </c>
      <c r="E51" t="s">
        <v>30</v>
      </c>
      <c r="F51" t="s">
        <v>31</v>
      </c>
      <c r="G51" t="s">
        <v>32</v>
      </c>
      <c r="H51" t="s">
        <v>33</v>
      </c>
      <c r="I51" t="s">
        <v>34</v>
      </c>
      <c r="J51" t="s">
        <v>35</v>
      </c>
      <c r="K51" t="s">
        <v>36</v>
      </c>
      <c r="L51" t="s">
        <v>37</v>
      </c>
      <c r="M51" t="s">
        <v>38</v>
      </c>
      <c r="N51" t="s">
        <v>198</v>
      </c>
      <c r="O51" t="s">
        <v>199</v>
      </c>
      <c r="P51" t="s">
        <v>200</v>
      </c>
      <c r="Q51" t="s">
        <v>201</v>
      </c>
      <c r="R51" t="s">
        <v>43</v>
      </c>
      <c r="S51" t="s">
        <v>48</v>
      </c>
      <c r="T51" t="s">
        <v>39</v>
      </c>
      <c r="U51" t="s">
        <v>40</v>
      </c>
      <c r="V51" t="s">
        <v>41</v>
      </c>
      <c r="W51" t="s">
        <v>42</v>
      </c>
      <c r="X51" t="s">
        <v>43</v>
      </c>
      <c r="Y51" t="s">
        <v>44</v>
      </c>
      <c r="Z51" t="s">
        <v>45</v>
      </c>
      <c r="AA51" t="s">
        <v>46</v>
      </c>
      <c r="AB51" t="s">
        <v>47</v>
      </c>
      <c r="AC51" t="s">
        <v>48</v>
      </c>
      <c r="AD51" t="s">
        <v>49</v>
      </c>
      <c r="AE51" t="s">
        <v>50</v>
      </c>
      <c r="AF51" t="s">
        <v>51</v>
      </c>
      <c r="AG51" t="s">
        <v>52</v>
      </c>
      <c r="AH51" t="s">
        <v>53</v>
      </c>
      <c r="AI51" t="s">
        <v>54</v>
      </c>
      <c r="AJ51" t="s">
        <v>55</v>
      </c>
      <c r="AK51" t="s">
        <v>56</v>
      </c>
      <c r="AL51" t="s">
        <v>57</v>
      </c>
      <c r="AM51" t="s">
        <v>58</v>
      </c>
      <c r="AN51" t="s">
        <v>59</v>
      </c>
      <c r="AO51" t="s">
        <v>60</v>
      </c>
      <c r="AP51" t="s">
        <v>61</v>
      </c>
      <c r="AQ51" t="s">
        <v>62</v>
      </c>
    </row>
    <row r="52" spans="1:43" x14ac:dyDescent="0.25">
      <c r="A52" t="s">
        <v>0</v>
      </c>
      <c r="B52" t="s">
        <v>126</v>
      </c>
      <c r="C52">
        <f>F52+G52</f>
        <v>0</v>
      </c>
    </row>
    <row r="53" spans="1:43" x14ac:dyDescent="0.25">
      <c r="A53" t="s">
        <v>1</v>
      </c>
      <c r="B53" t="s">
        <v>127</v>
      </c>
      <c r="C53">
        <f t="shared" ref="C53:C67" si="1">F53+G53</f>
        <v>0</v>
      </c>
    </row>
    <row r="54" spans="1:43" x14ac:dyDescent="0.25">
      <c r="A54" t="s">
        <v>2</v>
      </c>
      <c r="B54" t="s">
        <v>128</v>
      </c>
      <c r="C54">
        <f t="shared" si="1"/>
        <v>0</v>
      </c>
    </row>
    <row r="55" spans="1:43" x14ac:dyDescent="0.25">
      <c r="A55" t="s">
        <v>64</v>
      </c>
      <c r="B55" t="s">
        <v>129</v>
      </c>
      <c r="C55">
        <f t="shared" si="1"/>
        <v>0</v>
      </c>
    </row>
    <row r="56" spans="1:43" x14ac:dyDescent="0.25">
      <c r="A56" t="s">
        <v>0</v>
      </c>
      <c r="B56" t="s">
        <v>130</v>
      </c>
      <c r="C56">
        <f t="shared" si="1"/>
        <v>0</v>
      </c>
    </row>
    <row r="57" spans="1:43" x14ac:dyDescent="0.25">
      <c r="A57" t="s">
        <v>1</v>
      </c>
      <c r="B57" t="s">
        <v>131</v>
      </c>
      <c r="C57">
        <f t="shared" si="1"/>
        <v>0</v>
      </c>
    </row>
    <row r="58" spans="1:43" x14ac:dyDescent="0.25">
      <c r="A58" t="s">
        <v>2</v>
      </c>
      <c r="B58" t="s">
        <v>132</v>
      </c>
      <c r="C58">
        <f t="shared" si="1"/>
        <v>0</v>
      </c>
    </row>
    <row r="59" spans="1:43" x14ac:dyDescent="0.25">
      <c r="A59" t="s">
        <v>64</v>
      </c>
      <c r="B59" t="s">
        <v>133</v>
      </c>
      <c r="C59">
        <f t="shared" si="1"/>
        <v>0</v>
      </c>
    </row>
    <row r="60" spans="1:43" x14ac:dyDescent="0.25">
      <c r="A60" t="s">
        <v>0</v>
      </c>
      <c r="B60" t="s">
        <v>134</v>
      </c>
      <c r="C60">
        <f t="shared" si="1"/>
        <v>0</v>
      </c>
    </row>
    <row r="61" spans="1:43" x14ac:dyDescent="0.25">
      <c r="A61" t="s">
        <v>1</v>
      </c>
      <c r="B61" t="s">
        <v>135</v>
      </c>
      <c r="C61">
        <f t="shared" si="1"/>
        <v>0</v>
      </c>
    </row>
    <row r="62" spans="1:43" x14ac:dyDescent="0.25">
      <c r="A62" t="s">
        <v>2</v>
      </c>
      <c r="B62" t="s">
        <v>136</v>
      </c>
      <c r="C62">
        <f t="shared" si="1"/>
        <v>0</v>
      </c>
    </row>
    <row r="63" spans="1:43" x14ac:dyDescent="0.25">
      <c r="A63" t="s">
        <v>64</v>
      </c>
      <c r="B63" t="s">
        <v>137</v>
      </c>
      <c r="C63">
        <f t="shared" si="1"/>
        <v>0</v>
      </c>
    </row>
    <row r="64" spans="1:43" x14ac:dyDescent="0.25">
      <c r="A64" t="s">
        <v>0</v>
      </c>
      <c r="B64" t="s">
        <v>138</v>
      </c>
      <c r="C64">
        <f t="shared" si="1"/>
        <v>0</v>
      </c>
    </row>
    <row r="65" spans="1:3" x14ac:dyDescent="0.25">
      <c r="A65" t="s">
        <v>1</v>
      </c>
      <c r="B65" t="s">
        <v>139</v>
      </c>
      <c r="C65">
        <f t="shared" si="1"/>
        <v>0</v>
      </c>
    </row>
    <row r="66" spans="1:3" x14ac:dyDescent="0.25">
      <c r="A66" t="s">
        <v>2</v>
      </c>
      <c r="B66" t="s">
        <v>140</v>
      </c>
      <c r="C66">
        <f t="shared" si="1"/>
        <v>0</v>
      </c>
    </row>
    <row r="67" spans="1:3" x14ac:dyDescent="0.25">
      <c r="A67" t="s">
        <v>64</v>
      </c>
      <c r="B67" t="s">
        <v>141</v>
      </c>
      <c r="C67">
        <f t="shared" si="1"/>
        <v>0</v>
      </c>
    </row>
    <row r="71" spans="1:3" x14ac:dyDescent="0.25">
      <c r="C71" s="3"/>
    </row>
  </sheetData>
  <mergeCells count="12">
    <mergeCell ref="AN4:AO4"/>
    <mergeCell ref="E3:H3"/>
    <mergeCell ref="I3:L3"/>
    <mergeCell ref="M3:P3"/>
    <mergeCell ref="Q3:T3"/>
    <mergeCell ref="Z4:AA4"/>
    <mergeCell ref="AB4:AC4"/>
    <mergeCell ref="AD4:AE4"/>
    <mergeCell ref="AF4:AG4"/>
    <mergeCell ref="AH4:AI4"/>
    <mergeCell ref="AJ4:AK4"/>
    <mergeCell ref="AL4:AM4"/>
  </mergeCell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07"/>
  <sheetViews>
    <sheetView workbookViewId="0">
      <selection activeCell="C1" sqref="C1:C1048576"/>
    </sheetView>
  </sheetViews>
  <sheetFormatPr defaultColWidth="9.140625" defaultRowHeight="15" x14ac:dyDescent="0.25"/>
  <cols>
    <col min="2" max="2" width="26.140625" customWidth="1"/>
    <col min="3" max="3" width="8.140625" style="27" customWidth="1"/>
  </cols>
  <sheetData>
    <row r="1" spans="1:3" x14ac:dyDescent="0.25">
      <c r="A1" s="7"/>
      <c r="B1" s="8"/>
    </row>
    <row r="2" spans="1:3" x14ac:dyDescent="0.25">
      <c r="B2" t="s">
        <v>147</v>
      </c>
    </row>
    <row r="3" spans="1:3" x14ac:dyDescent="0.25">
      <c r="B3" t="s">
        <v>148</v>
      </c>
    </row>
    <row r="4" spans="1:3" x14ac:dyDescent="0.25">
      <c r="B4" t="s">
        <v>69</v>
      </c>
      <c r="C4" s="27">
        <v>36</v>
      </c>
    </row>
    <row r="5" spans="1:3" x14ac:dyDescent="0.25">
      <c r="B5" t="s">
        <v>70</v>
      </c>
      <c r="C5" s="27">
        <v>29</v>
      </c>
    </row>
    <row r="6" spans="1:3" x14ac:dyDescent="0.25">
      <c r="B6" t="s">
        <v>71</v>
      </c>
      <c r="C6" s="27">
        <v>10</v>
      </c>
    </row>
    <row r="7" spans="1:3" x14ac:dyDescent="0.25">
      <c r="B7" t="s">
        <v>176</v>
      </c>
      <c r="C7" s="27">
        <v>43</v>
      </c>
    </row>
    <row r="8" spans="1:3" x14ac:dyDescent="0.25">
      <c r="B8" t="s">
        <v>177</v>
      </c>
      <c r="C8" s="27">
        <v>43</v>
      </c>
    </row>
    <row r="9" spans="1:3" x14ac:dyDescent="0.25">
      <c r="B9" t="s">
        <v>188</v>
      </c>
      <c r="C9" s="27">
        <v>2047</v>
      </c>
    </row>
    <row r="10" spans="1:3" x14ac:dyDescent="0.25">
      <c r="B10" t="s">
        <v>189</v>
      </c>
      <c r="C10" s="27">
        <v>2047</v>
      </c>
    </row>
    <row r="11" spans="1:3" x14ac:dyDescent="0.25">
      <c r="B11" t="s">
        <v>149</v>
      </c>
      <c r="C11" s="27">
        <v>43</v>
      </c>
    </row>
    <row r="12" spans="1:3" x14ac:dyDescent="0.25">
      <c r="B12" t="s">
        <v>150</v>
      </c>
      <c r="C12" s="27">
        <v>43</v>
      </c>
    </row>
    <row r="13" spans="1:3" x14ac:dyDescent="0.25">
      <c r="B13" t="s">
        <v>190</v>
      </c>
      <c r="C13" s="27">
        <v>2047</v>
      </c>
    </row>
    <row r="14" spans="1:3" x14ac:dyDescent="0.25">
      <c r="B14" t="s">
        <v>191</v>
      </c>
      <c r="C14" s="27">
        <v>2047</v>
      </c>
    </row>
    <row r="15" spans="1:3" x14ac:dyDescent="0.25">
      <c r="B15" t="s">
        <v>151</v>
      </c>
      <c r="C15" s="27">
        <v>1</v>
      </c>
    </row>
    <row r="16" spans="1:3" x14ac:dyDescent="0.25">
      <c r="B16" t="s">
        <v>152</v>
      </c>
      <c r="C16" s="27">
        <v>152</v>
      </c>
    </row>
    <row r="17" spans="2:3" x14ac:dyDescent="0.25">
      <c r="B17" t="s">
        <v>153</v>
      </c>
      <c r="C17" s="27">
        <v>2048</v>
      </c>
    </row>
    <row r="18" spans="2:3" x14ac:dyDescent="0.25">
      <c r="B18" t="s">
        <v>154</v>
      </c>
      <c r="C18" s="27">
        <v>152</v>
      </c>
    </row>
    <row r="19" spans="2:3" x14ac:dyDescent="0.25">
      <c r="B19" t="s">
        <v>155</v>
      </c>
      <c r="C19" s="27">
        <v>1</v>
      </c>
    </row>
    <row r="20" spans="2:3" x14ac:dyDescent="0.25">
      <c r="B20" t="s">
        <v>156</v>
      </c>
      <c r="C20" s="27">
        <v>152</v>
      </c>
    </row>
    <row r="21" spans="2:3" x14ac:dyDescent="0.25">
      <c r="B21" t="s">
        <v>157</v>
      </c>
      <c r="C21" s="27">
        <v>2048</v>
      </c>
    </row>
    <row r="22" spans="2:3" x14ac:dyDescent="0.25">
      <c r="B22" t="s">
        <v>158</v>
      </c>
      <c r="C22" s="27">
        <v>152</v>
      </c>
    </row>
    <row r="23" spans="2:3" x14ac:dyDescent="0.25">
      <c r="B23" t="s">
        <v>159</v>
      </c>
      <c r="C23" s="27">
        <v>20</v>
      </c>
    </row>
    <row r="24" spans="2:3" x14ac:dyDescent="0.25">
      <c r="B24" t="s">
        <v>160</v>
      </c>
      <c r="C24" s="27">
        <v>20</v>
      </c>
    </row>
    <row r="25" spans="2:3" x14ac:dyDescent="0.25">
      <c r="B25" t="s">
        <v>72</v>
      </c>
      <c r="C25" s="27">
        <v>0</v>
      </c>
    </row>
    <row r="26" spans="2:3" x14ac:dyDescent="0.25">
      <c r="B26" t="s">
        <v>161</v>
      </c>
      <c r="C26" s="27">
        <v>0</v>
      </c>
    </row>
    <row r="27" spans="2:3" x14ac:dyDescent="0.25">
      <c r="B27" t="s">
        <v>162</v>
      </c>
      <c r="C27" s="27">
        <v>0</v>
      </c>
    </row>
    <row r="28" spans="2:3" x14ac:dyDescent="0.25">
      <c r="B28" t="s">
        <v>163</v>
      </c>
      <c r="C28" s="27">
        <v>0</v>
      </c>
    </row>
    <row r="29" spans="2:3" x14ac:dyDescent="0.25">
      <c r="B29" t="s">
        <v>164</v>
      </c>
      <c r="C29" s="27" t="s">
        <v>100</v>
      </c>
    </row>
    <row r="30" spans="2:3" x14ac:dyDescent="0.25">
      <c r="B30" t="s">
        <v>165</v>
      </c>
      <c r="C30" s="27">
        <v>0</v>
      </c>
    </row>
    <row r="31" spans="2:3" x14ac:dyDescent="0.25">
      <c r="B31" t="s">
        <v>73</v>
      </c>
      <c r="C31" s="27">
        <v>30</v>
      </c>
    </row>
    <row r="32" spans="2:3" x14ac:dyDescent="0.25">
      <c r="B32" t="s">
        <v>74</v>
      </c>
      <c r="C32" s="27">
        <v>30</v>
      </c>
    </row>
    <row r="33" spans="2:3" x14ac:dyDescent="0.25">
      <c r="B33" t="s">
        <v>75</v>
      </c>
      <c r="C33" s="27">
        <v>310</v>
      </c>
    </row>
    <row r="34" spans="2:3" x14ac:dyDescent="0.25">
      <c r="B34" t="s">
        <v>76</v>
      </c>
      <c r="C34" s="27">
        <v>0</v>
      </c>
    </row>
    <row r="35" spans="2:3" x14ac:dyDescent="0.25">
      <c r="B35" t="s">
        <v>77</v>
      </c>
      <c r="C35" s="27">
        <v>0</v>
      </c>
    </row>
    <row r="36" spans="2:3" x14ac:dyDescent="0.25">
      <c r="B36" t="s">
        <v>192</v>
      </c>
      <c r="C36" s="27">
        <v>30262</v>
      </c>
    </row>
    <row r="37" spans="2:3" x14ac:dyDescent="0.25">
      <c r="B37" t="s">
        <v>193</v>
      </c>
      <c r="C37" s="27">
        <v>4294950416</v>
      </c>
    </row>
    <row r="38" spans="2:3" x14ac:dyDescent="0.25">
      <c r="B38" t="s">
        <v>194</v>
      </c>
      <c r="C38" s="27">
        <v>29172</v>
      </c>
    </row>
    <row r="39" spans="2:3" x14ac:dyDescent="0.25">
      <c r="B39" t="s">
        <v>195</v>
      </c>
      <c r="C39" s="27">
        <v>0</v>
      </c>
    </row>
    <row r="40" spans="2:3" x14ac:dyDescent="0.25">
      <c r="B40" t="s">
        <v>196</v>
      </c>
      <c r="C40" s="27">
        <v>118</v>
      </c>
    </row>
    <row r="41" spans="2:3" x14ac:dyDescent="0.25">
      <c r="B41" t="s">
        <v>197</v>
      </c>
      <c r="C41" s="27">
        <v>38</v>
      </c>
    </row>
    <row r="42" spans="2:3" x14ac:dyDescent="0.25">
      <c r="B42" t="s">
        <v>78</v>
      </c>
      <c r="C42" s="27">
        <v>0</v>
      </c>
    </row>
    <row r="43" spans="2:3" x14ac:dyDescent="0.25">
      <c r="B43" t="s">
        <v>79</v>
      </c>
      <c r="C43" s="27">
        <v>0</v>
      </c>
    </row>
    <row r="44" spans="2:3" x14ac:dyDescent="0.25">
      <c r="B44" t="s">
        <v>80</v>
      </c>
      <c r="C44" s="27" t="s">
        <v>100</v>
      </c>
    </row>
    <row r="45" spans="2:3" x14ac:dyDescent="0.25">
      <c r="B45" t="s">
        <v>82</v>
      </c>
      <c r="C45" s="27" t="s">
        <v>100</v>
      </c>
    </row>
    <row r="46" spans="2:3" x14ac:dyDescent="0.25">
      <c r="B46" t="s">
        <v>83</v>
      </c>
      <c r="C46" s="27" t="s">
        <v>81</v>
      </c>
    </row>
    <row r="47" spans="2:3" x14ac:dyDescent="0.25">
      <c r="B47" t="s">
        <v>84</v>
      </c>
      <c r="C47" s="27" t="s">
        <v>81</v>
      </c>
    </row>
    <row r="48" spans="2:3" x14ac:dyDescent="0.25">
      <c r="B48" t="s">
        <v>85</v>
      </c>
      <c r="C48" s="27">
        <v>35</v>
      </c>
    </row>
    <row r="49" spans="2:3" x14ac:dyDescent="0.25">
      <c r="B49" t="s">
        <v>86</v>
      </c>
      <c r="C49" s="27">
        <v>1</v>
      </c>
    </row>
    <row r="50" spans="2:3" x14ac:dyDescent="0.25">
      <c r="B50" t="s">
        <v>87</v>
      </c>
      <c r="C50" s="27">
        <v>35</v>
      </c>
    </row>
    <row r="51" spans="2:3" x14ac:dyDescent="0.25">
      <c r="B51" t="s">
        <v>88</v>
      </c>
      <c r="C51" s="27">
        <v>1</v>
      </c>
    </row>
    <row r="52" spans="2:3" x14ac:dyDescent="0.25">
      <c r="B52" t="s">
        <v>89</v>
      </c>
      <c r="C52" s="27">
        <v>25</v>
      </c>
    </row>
    <row r="53" spans="2:3" x14ac:dyDescent="0.25">
      <c r="B53" t="s">
        <v>90</v>
      </c>
      <c r="C53" s="27">
        <v>1</v>
      </c>
    </row>
    <row r="54" spans="2:3" x14ac:dyDescent="0.25">
      <c r="B54" t="s">
        <v>91</v>
      </c>
      <c r="C54" s="27">
        <v>25</v>
      </c>
    </row>
    <row r="55" spans="2:3" x14ac:dyDescent="0.25">
      <c r="B55" t="s">
        <v>92</v>
      </c>
      <c r="C55" s="27">
        <v>1</v>
      </c>
    </row>
    <row r="56" spans="2:3" x14ac:dyDescent="0.25">
      <c r="B56" t="s">
        <v>93</v>
      </c>
      <c r="C56" s="27">
        <v>8</v>
      </c>
    </row>
    <row r="57" spans="2:3" x14ac:dyDescent="0.25">
      <c r="B57" t="s">
        <v>94</v>
      </c>
      <c r="C57" s="27">
        <v>8</v>
      </c>
    </row>
    <row r="58" spans="2:3" x14ac:dyDescent="0.25">
      <c r="B58" t="s">
        <v>95</v>
      </c>
      <c r="C58" s="27">
        <v>150</v>
      </c>
    </row>
    <row r="59" spans="2:3" x14ac:dyDescent="0.25">
      <c r="B59" t="s">
        <v>96</v>
      </c>
      <c r="C59" s="27">
        <v>150</v>
      </c>
    </row>
    <row r="60" spans="2:3" x14ac:dyDescent="0.25">
      <c r="B60" t="s">
        <v>97</v>
      </c>
      <c r="C60" s="27">
        <v>50</v>
      </c>
    </row>
    <row r="61" spans="2:3" x14ac:dyDescent="0.25">
      <c r="B61" t="s">
        <v>98</v>
      </c>
      <c r="C61" s="27">
        <v>50</v>
      </c>
    </row>
    <row r="62" spans="2:3" x14ac:dyDescent="0.25">
      <c r="B62" t="s">
        <v>99</v>
      </c>
      <c r="C62" s="27" t="s">
        <v>100</v>
      </c>
    </row>
    <row r="63" spans="2:3" x14ac:dyDescent="0.25">
      <c r="B63" t="s">
        <v>101</v>
      </c>
      <c r="C63" s="27" t="s">
        <v>100</v>
      </c>
    </row>
    <row r="64" spans="2:3" x14ac:dyDescent="0.25">
      <c r="B64" t="s">
        <v>102</v>
      </c>
      <c r="C64" s="27">
        <v>0</v>
      </c>
    </row>
    <row r="65" spans="2:3" x14ac:dyDescent="0.25">
      <c r="B65" t="s">
        <v>103</v>
      </c>
      <c r="C65" s="27">
        <v>0</v>
      </c>
    </row>
    <row r="66" spans="2:3" x14ac:dyDescent="0.25">
      <c r="B66" t="s">
        <v>104</v>
      </c>
      <c r="C66" s="27">
        <v>0</v>
      </c>
    </row>
    <row r="67" spans="2:3" x14ac:dyDescent="0.25">
      <c r="B67" t="s">
        <v>105</v>
      </c>
      <c r="C67" s="27">
        <v>0</v>
      </c>
    </row>
    <row r="68" spans="2:3" x14ac:dyDescent="0.25">
      <c r="B68" t="s">
        <v>106</v>
      </c>
      <c r="C68" s="27">
        <v>0</v>
      </c>
    </row>
    <row r="69" spans="2:3" x14ac:dyDescent="0.25">
      <c r="B69" t="s">
        <v>107</v>
      </c>
      <c r="C69" s="27">
        <v>0</v>
      </c>
    </row>
    <row r="70" spans="2:3" x14ac:dyDescent="0.25">
      <c r="B70" t="s">
        <v>108</v>
      </c>
      <c r="C70" s="27">
        <v>0</v>
      </c>
    </row>
    <row r="71" spans="2:3" x14ac:dyDescent="0.25">
      <c r="B71" t="s">
        <v>109</v>
      </c>
      <c r="C71" s="27">
        <v>0</v>
      </c>
    </row>
    <row r="72" spans="2:3" x14ac:dyDescent="0.25">
      <c r="B72" t="s">
        <v>110</v>
      </c>
      <c r="C72" s="27">
        <v>32</v>
      </c>
    </row>
    <row r="73" spans="2:3" x14ac:dyDescent="0.25">
      <c r="B73" t="s">
        <v>111</v>
      </c>
      <c r="C73" s="27">
        <v>32</v>
      </c>
    </row>
    <row r="74" spans="2:3" x14ac:dyDescent="0.25">
      <c r="B74" t="s">
        <v>166</v>
      </c>
      <c r="C74" s="27" t="s">
        <v>100</v>
      </c>
    </row>
    <row r="75" spans="2:3" x14ac:dyDescent="0.25">
      <c r="B75" t="s">
        <v>167</v>
      </c>
      <c r="C75" s="27" t="s">
        <v>100</v>
      </c>
    </row>
    <row r="76" spans="2:3" x14ac:dyDescent="0.25">
      <c r="B76" t="s">
        <v>168</v>
      </c>
      <c r="C76" s="27" t="s">
        <v>100</v>
      </c>
    </row>
    <row r="77" spans="2:3" x14ac:dyDescent="0.25">
      <c r="B77" t="s">
        <v>169</v>
      </c>
      <c r="C77" s="27" t="s">
        <v>100</v>
      </c>
    </row>
    <row r="78" spans="2:3" x14ac:dyDescent="0.25">
      <c r="B78" t="s">
        <v>112</v>
      </c>
      <c r="C78" s="27">
        <v>705600</v>
      </c>
    </row>
    <row r="79" spans="2:3" x14ac:dyDescent="0.25">
      <c r="B79" t="s">
        <v>113</v>
      </c>
      <c r="C79" s="27">
        <v>132000</v>
      </c>
    </row>
    <row r="80" spans="2:3" x14ac:dyDescent="0.25">
      <c r="B80" t="s">
        <v>114</v>
      </c>
      <c r="C80" s="27">
        <v>545600</v>
      </c>
    </row>
    <row r="81" spans="2:3" x14ac:dyDescent="0.25">
      <c r="B81" t="s">
        <v>115</v>
      </c>
      <c r="C81" s="27">
        <v>100000</v>
      </c>
    </row>
    <row r="82" spans="2:3" x14ac:dyDescent="0.25">
      <c r="B82" t="s">
        <v>116</v>
      </c>
      <c r="C82" s="27">
        <v>705600</v>
      </c>
    </row>
    <row r="83" spans="2:3" x14ac:dyDescent="0.25">
      <c r="B83" t="s">
        <v>117</v>
      </c>
      <c r="C83" s="27">
        <v>132000</v>
      </c>
    </row>
    <row r="84" spans="2:3" x14ac:dyDescent="0.25">
      <c r="B84" t="s">
        <v>118</v>
      </c>
      <c r="C84" s="27">
        <v>705600</v>
      </c>
    </row>
    <row r="85" spans="2:3" x14ac:dyDescent="0.25">
      <c r="B85" t="s">
        <v>118</v>
      </c>
      <c r="C85" s="27">
        <v>132000</v>
      </c>
    </row>
    <row r="86" spans="2:3" x14ac:dyDescent="0.25">
      <c r="B86" t="s">
        <v>119</v>
      </c>
      <c r="C86" s="27">
        <v>14</v>
      </c>
    </row>
    <row r="87" spans="2:3" x14ac:dyDescent="0.25">
      <c r="B87" t="s">
        <v>120</v>
      </c>
      <c r="C87" s="27">
        <v>14</v>
      </c>
    </row>
    <row r="88" spans="2:3" x14ac:dyDescent="0.25">
      <c r="B88" t="s">
        <v>170</v>
      </c>
      <c r="C88" s="27">
        <v>2</v>
      </c>
    </row>
    <row r="89" spans="2:3" x14ac:dyDescent="0.25">
      <c r="B89" t="s">
        <v>171</v>
      </c>
      <c r="C89" s="27">
        <v>2</v>
      </c>
    </row>
    <row r="90" spans="2:3" x14ac:dyDescent="0.25">
      <c r="B90" t="s">
        <v>172</v>
      </c>
      <c r="C90" s="27">
        <v>2</v>
      </c>
    </row>
    <row r="91" spans="2:3" x14ac:dyDescent="0.25">
      <c r="B91" t="s">
        <v>173</v>
      </c>
      <c r="C91" s="27">
        <v>2</v>
      </c>
    </row>
    <row r="92" spans="2:3" x14ac:dyDescent="0.25">
      <c r="B92" t="s">
        <v>174</v>
      </c>
      <c r="C92" s="27">
        <v>20</v>
      </c>
    </row>
    <row r="93" spans="2:3" x14ac:dyDescent="0.25">
      <c r="B93" t="s">
        <v>175</v>
      </c>
      <c r="C93" s="27">
        <v>20</v>
      </c>
    </row>
    <row r="94" spans="2:3" x14ac:dyDescent="0.25">
      <c r="B94" t="s">
        <v>121</v>
      </c>
      <c r="C94" s="27">
        <v>10</v>
      </c>
    </row>
    <row r="95" spans="2:3" x14ac:dyDescent="0.25">
      <c r="B95" t="s">
        <v>122</v>
      </c>
      <c r="C95" s="27">
        <v>10</v>
      </c>
    </row>
    <row r="96" spans="2:3" x14ac:dyDescent="0.25">
      <c r="B96" t="s">
        <v>123</v>
      </c>
      <c r="C96" s="27">
        <v>20</v>
      </c>
    </row>
    <row r="97" spans="2:3" x14ac:dyDescent="0.25">
      <c r="B97" t="s">
        <v>124</v>
      </c>
      <c r="C97" s="27">
        <v>20</v>
      </c>
    </row>
    <row r="98" spans="2:3" x14ac:dyDescent="0.25">
      <c r="B98" t="s">
        <v>178</v>
      </c>
      <c r="C98" s="27">
        <v>1</v>
      </c>
    </row>
    <row r="99" spans="2:3" x14ac:dyDescent="0.25">
      <c r="B99" t="s">
        <v>179</v>
      </c>
      <c r="C99" s="27">
        <v>0</v>
      </c>
    </row>
    <row r="100" spans="2:3" x14ac:dyDescent="0.25">
      <c r="B100" t="s">
        <v>180</v>
      </c>
      <c r="C100" s="27">
        <v>1</v>
      </c>
    </row>
    <row r="101" spans="2:3" x14ac:dyDescent="0.25">
      <c r="B101" t="s">
        <v>181</v>
      </c>
      <c r="C101" s="27">
        <v>0</v>
      </c>
    </row>
    <row r="102" spans="2:3" x14ac:dyDescent="0.25">
      <c r="B102" t="s">
        <v>182</v>
      </c>
      <c r="C102" s="27">
        <v>0</v>
      </c>
    </row>
    <row r="103" spans="2:3" x14ac:dyDescent="0.25">
      <c r="B103" t="s">
        <v>183</v>
      </c>
      <c r="C103" s="27">
        <v>30</v>
      </c>
    </row>
    <row r="104" spans="2:3" x14ac:dyDescent="0.25">
      <c r="B104" t="s">
        <v>184</v>
      </c>
      <c r="C104" s="27">
        <v>30</v>
      </c>
    </row>
    <row r="105" spans="2:3" x14ac:dyDescent="0.25">
      <c r="B105" t="s">
        <v>185</v>
      </c>
      <c r="C105" s="27">
        <v>6</v>
      </c>
    </row>
    <row r="106" spans="2:3" x14ac:dyDescent="0.25">
      <c r="B106" t="s">
        <v>186</v>
      </c>
      <c r="C106" s="27">
        <v>6</v>
      </c>
    </row>
    <row r="107" spans="2:3" x14ac:dyDescent="0.25">
      <c r="B107" t="s">
        <v>187</v>
      </c>
      <c r="C107" s="27">
        <v>10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7"/>
  <sheetViews>
    <sheetView workbookViewId="0">
      <selection activeCell="C1" sqref="C1:C1048576"/>
    </sheetView>
  </sheetViews>
  <sheetFormatPr defaultColWidth="9.140625" defaultRowHeight="15" x14ac:dyDescent="0.25"/>
  <cols>
    <col min="2" max="2" width="26.140625" customWidth="1"/>
    <col min="3" max="3" width="8.140625" style="27" customWidth="1"/>
  </cols>
  <sheetData>
    <row r="1" spans="1:3" x14ac:dyDescent="0.25">
      <c r="A1" s="7"/>
      <c r="B1" s="8"/>
    </row>
    <row r="2" spans="1:3" x14ac:dyDescent="0.25">
      <c r="B2" t="s">
        <v>147</v>
      </c>
    </row>
    <row r="3" spans="1:3" x14ac:dyDescent="0.25">
      <c r="B3" t="s">
        <v>148</v>
      </c>
    </row>
    <row r="4" spans="1:3" x14ac:dyDescent="0.25">
      <c r="B4" t="s">
        <v>69</v>
      </c>
      <c r="C4" s="27">
        <v>36</v>
      </c>
    </row>
    <row r="5" spans="1:3" x14ac:dyDescent="0.25">
      <c r="B5" t="s">
        <v>70</v>
      </c>
      <c r="C5" s="27">
        <v>29</v>
      </c>
    </row>
    <row r="6" spans="1:3" x14ac:dyDescent="0.25">
      <c r="B6" t="s">
        <v>71</v>
      </c>
      <c r="C6" s="27">
        <v>10</v>
      </c>
    </row>
    <row r="7" spans="1:3" x14ac:dyDescent="0.25">
      <c r="B7" t="s">
        <v>176</v>
      </c>
      <c r="C7" s="27">
        <v>43</v>
      </c>
    </row>
    <row r="8" spans="1:3" x14ac:dyDescent="0.25">
      <c r="B8" t="s">
        <v>177</v>
      </c>
      <c r="C8" s="27">
        <v>97</v>
      </c>
    </row>
    <row r="9" spans="1:3" x14ac:dyDescent="0.25">
      <c r="B9" t="s">
        <v>188</v>
      </c>
      <c r="C9" s="27">
        <v>2047</v>
      </c>
    </row>
    <row r="10" spans="1:3" x14ac:dyDescent="0.25">
      <c r="B10" t="s">
        <v>189</v>
      </c>
      <c r="C10" s="27">
        <v>2047</v>
      </c>
    </row>
    <row r="11" spans="1:3" x14ac:dyDescent="0.25">
      <c r="B11" t="s">
        <v>149</v>
      </c>
      <c r="C11" s="27">
        <v>43</v>
      </c>
    </row>
    <row r="12" spans="1:3" x14ac:dyDescent="0.25">
      <c r="B12" t="s">
        <v>150</v>
      </c>
      <c r="C12" s="27">
        <v>97</v>
      </c>
    </row>
    <row r="13" spans="1:3" x14ac:dyDescent="0.25">
      <c r="B13" t="s">
        <v>190</v>
      </c>
      <c r="C13" s="27">
        <v>2047</v>
      </c>
    </row>
    <row r="14" spans="1:3" x14ac:dyDescent="0.25">
      <c r="B14" t="s">
        <v>191</v>
      </c>
      <c r="C14" s="27">
        <v>2047</v>
      </c>
    </row>
    <row r="15" spans="1:3" x14ac:dyDescent="0.25">
      <c r="B15" t="s">
        <v>151</v>
      </c>
      <c r="C15" s="27">
        <v>1</v>
      </c>
    </row>
    <row r="16" spans="1:3" x14ac:dyDescent="0.25">
      <c r="B16" t="s">
        <v>152</v>
      </c>
      <c r="C16" s="27">
        <v>152</v>
      </c>
    </row>
    <row r="17" spans="2:3" x14ac:dyDescent="0.25">
      <c r="B17" t="s">
        <v>153</v>
      </c>
      <c r="C17" s="27">
        <v>2048</v>
      </c>
    </row>
    <row r="18" spans="2:3" x14ac:dyDescent="0.25">
      <c r="B18" t="s">
        <v>154</v>
      </c>
      <c r="C18" s="27">
        <v>152</v>
      </c>
    </row>
    <row r="19" spans="2:3" x14ac:dyDescent="0.25">
      <c r="B19" t="s">
        <v>155</v>
      </c>
      <c r="C19" s="27">
        <v>1</v>
      </c>
    </row>
    <row r="20" spans="2:3" x14ac:dyDescent="0.25">
      <c r="B20" t="s">
        <v>156</v>
      </c>
      <c r="C20" s="27">
        <v>152</v>
      </c>
    </row>
    <row r="21" spans="2:3" x14ac:dyDescent="0.25">
      <c r="B21" t="s">
        <v>157</v>
      </c>
      <c r="C21" s="27">
        <v>2048</v>
      </c>
    </row>
    <row r="22" spans="2:3" x14ac:dyDescent="0.25">
      <c r="B22" t="s">
        <v>158</v>
      </c>
      <c r="C22" s="27">
        <v>152</v>
      </c>
    </row>
    <row r="23" spans="2:3" x14ac:dyDescent="0.25">
      <c r="B23" t="s">
        <v>159</v>
      </c>
      <c r="C23" s="27">
        <v>20</v>
      </c>
    </row>
    <row r="24" spans="2:3" x14ac:dyDescent="0.25">
      <c r="B24" t="s">
        <v>160</v>
      </c>
      <c r="C24" s="27">
        <v>20</v>
      </c>
    </row>
    <row r="25" spans="2:3" x14ac:dyDescent="0.25">
      <c r="B25" t="s">
        <v>72</v>
      </c>
      <c r="C25" s="27">
        <v>0</v>
      </c>
    </row>
    <row r="26" spans="2:3" x14ac:dyDescent="0.25">
      <c r="B26" t="s">
        <v>161</v>
      </c>
      <c r="C26" s="27">
        <v>0</v>
      </c>
    </row>
    <row r="27" spans="2:3" x14ac:dyDescent="0.25">
      <c r="B27" t="s">
        <v>162</v>
      </c>
      <c r="C27" s="27">
        <v>0</v>
      </c>
    </row>
    <row r="28" spans="2:3" x14ac:dyDescent="0.25">
      <c r="B28" t="s">
        <v>163</v>
      </c>
      <c r="C28" s="27">
        <v>0</v>
      </c>
    </row>
    <row r="29" spans="2:3" x14ac:dyDescent="0.25">
      <c r="B29" t="s">
        <v>164</v>
      </c>
      <c r="C29" s="27" t="s">
        <v>100</v>
      </c>
    </row>
    <row r="30" spans="2:3" x14ac:dyDescent="0.25">
      <c r="B30" t="s">
        <v>165</v>
      </c>
      <c r="C30" s="27">
        <v>0</v>
      </c>
    </row>
    <row r="31" spans="2:3" x14ac:dyDescent="0.25">
      <c r="B31" t="s">
        <v>73</v>
      </c>
      <c r="C31" s="27">
        <v>30</v>
      </c>
    </row>
    <row r="32" spans="2:3" x14ac:dyDescent="0.25">
      <c r="B32" t="s">
        <v>74</v>
      </c>
      <c r="C32" s="27">
        <v>30</v>
      </c>
    </row>
    <row r="33" spans="2:3" x14ac:dyDescent="0.25">
      <c r="B33" t="s">
        <v>75</v>
      </c>
      <c r="C33" s="27">
        <v>310</v>
      </c>
    </row>
    <row r="34" spans="2:3" x14ac:dyDescent="0.25">
      <c r="B34" t="s">
        <v>76</v>
      </c>
      <c r="C34" s="27">
        <v>0</v>
      </c>
    </row>
    <row r="35" spans="2:3" x14ac:dyDescent="0.25">
      <c r="B35" t="s">
        <v>77</v>
      </c>
      <c r="C35" s="27">
        <v>0</v>
      </c>
    </row>
    <row r="36" spans="2:3" x14ac:dyDescent="0.25">
      <c r="B36" t="s">
        <v>192</v>
      </c>
      <c r="C36" s="27">
        <v>30262</v>
      </c>
    </row>
    <row r="37" spans="2:3" x14ac:dyDescent="0.25">
      <c r="B37" t="s">
        <v>193</v>
      </c>
      <c r="C37" s="27">
        <v>4294950416</v>
      </c>
    </row>
    <row r="38" spans="2:3" x14ac:dyDescent="0.25">
      <c r="B38" t="s">
        <v>194</v>
      </c>
      <c r="C38" s="27">
        <v>29172</v>
      </c>
    </row>
    <row r="39" spans="2:3" x14ac:dyDescent="0.25">
      <c r="B39" t="s">
        <v>195</v>
      </c>
      <c r="C39" s="27">
        <v>312</v>
      </c>
    </row>
    <row r="40" spans="2:3" x14ac:dyDescent="0.25">
      <c r="B40" t="s">
        <v>196</v>
      </c>
      <c r="C40" s="27">
        <v>118</v>
      </c>
    </row>
    <row r="41" spans="2:3" x14ac:dyDescent="0.25">
      <c r="B41" t="s">
        <v>197</v>
      </c>
      <c r="C41" s="27">
        <v>38</v>
      </c>
    </row>
    <row r="42" spans="2:3" x14ac:dyDescent="0.25">
      <c r="B42" t="s">
        <v>78</v>
      </c>
      <c r="C42" s="27">
        <v>0</v>
      </c>
    </row>
    <row r="43" spans="2:3" x14ac:dyDescent="0.25">
      <c r="B43" t="s">
        <v>79</v>
      </c>
      <c r="C43" s="27">
        <v>0</v>
      </c>
    </row>
    <row r="44" spans="2:3" x14ac:dyDescent="0.25">
      <c r="B44" t="s">
        <v>80</v>
      </c>
      <c r="C44" s="27" t="s">
        <v>100</v>
      </c>
    </row>
    <row r="45" spans="2:3" x14ac:dyDescent="0.25">
      <c r="B45" t="s">
        <v>82</v>
      </c>
      <c r="C45" s="27" t="s">
        <v>100</v>
      </c>
    </row>
    <row r="46" spans="2:3" x14ac:dyDescent="0.25">
      <c r="B46" t="s">
        <v>83</v>
      </c>
      <c r="C46" s="27" t="s">
        <v>81</v>
      </c>
    </row>
    <row r="47" spans="2:3" x14ac:dyDescent="0.25">
      <c r="B47" t="s">
        <v>84</v>
      </c>
      <c r="C47" s="27" t="s">
        <v>81</v>
      </c>
    </row>
    <row r="48" spans="2:3" x14ac:dyDescent="0.25">
      <c r="B48" t="s">
        <v>85</v>
      </c>
      <c r="C48" s="27">
        <v>35</v>
      </c>
    </row>
    <row r="49" spans="2:3" x14ac:dyDescent="0.25">
      <c r="B49" t="s">
        <v>86</v>
      </c>
      <c r="C49" s="27">
        <v>1</v>
      </c>
    </row>
    <row r="50" spans="2:3" x14ac:dyDescent="0.25">
      <c r="B50" t="s">
        <v>87</v>
      </c>
      <c r="C50" s="27">
        <v>35</v>
      </c>
    </row>
    <row r="51" spans="2:3" x14ac:dyDescent="0.25">
      <c r="B51" t="s">
        <v>88</v>
      </c>
      <c r="C51" s="27">
        <v>1</v>
      </c>
    </row>
    <row r="52" spans="2:3" x14ac:dyDescent="0.25">
      <c r="B52" t="s">
        <v>89</v>
      </c>
      <c r="C52" s="27">
        <v>25</v>
      </c>
    </row>
    <row r="53" spans="2:3" x14ac:dyDescent="0.25">
      <c r="B53" t="s">
        <v>90</v>
      </c>
      <c r="C53" s="27">
        <v>1</v>
      </c>
    </row>
    <row r="54" spans="2:3" x14ac:dyDescent="0.25">
      <c r="B54" t="s">
        <v>91</v>
      </c>
      <c r="C54" s="27">
        <v>25</v>
      </c>
    </row>
    <row r="55" spans="2:3" x14ac:dyDescent="0.25">
      <c r="B55" t="s">
        <v>92</v>
      </c>
      <c r="C55" s="27">
        <v>1</v>
      </c>
    </row>
    <row r="56" spans="2:3" x14ac:dyDescent="0.25">
      <c r="B56" t="s">
        <v>93</v>
      </c>
      <c r="C56" s="27">
        <v>8</v>
      </c>
    </row>
    <row r="57" spans="2:3" x14ac:dyDescent="0.25">
      <c r="B57" t="s">
        <v>94</v>
      </c>
      <c r="C57" s="27">
        <v>8</v>
      </c>
    </row>
    <row r="58" spans="2:3" x14ac:dyDescent="0.25">
      <c r="B58" t="s">
        <v>95</v>
      </c>
      <c r="C58" s="27">
        <v>150</v>
      </c>
    </row>
    <row r="59" spans="2:3" x14ac:dyDescent="0.25">
      <c r="B59" t="s">
        <v>96</v>
      </c>
      <c r="C59" s="27">
        <v>150</v>
      </c>
    </row>
    <row r="60" spans="2:3" x14ac:dyDescent="0.25">
      <c r="B60" t="s">
        <v>97</v>
      </c>
      <c r="C60" s="27">
        <v>50</v>
      </c>
    </row>
    <row r="61" spans="2:3" x14ac:dyDescent="0.25">
      <c r="B61" t="s">
        <v>98</v>
      </c>
      <c r="C61" s="27">
        <v>50</v>
      </c>
    </row>
    <row r="62" spans="2:3" x14ac:dyDescent="0.25">
      <c r="B62" t="s">
        <v>99</v>
      </c>
      <c r="C62" s="27" t="s">
        <v>100</v>
      </c>
    </row>
    <row r="63" spans="2:3" x14ac:dyDescent="0.25">
      <c r="B63" t="s">
        <v>101</v>
      </c>
      <c r="C63" s="27" t="s">
        <v>100</v>
      </c>
    </row>
    <row r="64" spans="2:3" x14ac:dyDescent="0.25">
      <c r="B64" t="s">
        <v>102</v>
      </c>
      <c r="C64" s="27">
        <v>0</v>
      </c>
    </row>
    <row r="65" spans="2:3" x14ac:dyDescent="0.25">
      <c r="B65" t="s">
        <v>103</v>
      </c>
      <c r="C65" s="27">
        <v>0</v>
      </c>
    </row>
    <row r="66" spans="2:3" x14ac:dyDescent="0.25">
      <c r="B66" t="s">
        <v>104</v>
      </c>
      <c r="C66" s="27">
        <v>0</v>
      </c>
    </row>
    <row r="67" spans="2:3" x14ac:dyDescent="0.25">
      <c r="B67" t="s">
        <v>105</v>
      </c>
      <c r="C67" s="27">
        <v>0</v>
      </c>
    </row>
    <row r="68" spans="2:3" x14ac:dyDescent="0.25">
      <c r="B68" t="s">
        <v>106</v>
      </c>
      <c r="C68" s="27">
        <v>0</v>
      </c>
    </row>
    <row r="69" spans="2:3" x14ac:dyDescent="0.25">
      <c r="B69" t="s">
        <v>107</v>
      </c>
      <c r="C69" s="27">
        <v>0</v>
      </c>
    </row>
    <row r="70" spans="2:3" x14ac:dyDescent="0.25">
      <c r="B70" t="s">
        <v>108</v>
      </c>
      <c r="C70" s="27">
        <v>0</v>
      </c>
    </row>
    <row r="71" spans="2:3" x14ac:dyDescent="0.25">
      <c r="B71" t="s">
        <v>109</v>
      </c>
      <c r="C71" s="27">
        <v>0</v>
      </c>
    </row>
    <row r="72" spans="2:3" x14ac:dyDescent="0.25">
      <c r="B72" t="s">
        <v>110</v>
      </c>
      <c r="C72" s="27">
        <v>32</v>
      </c>
    </row>
    <row r="73" spans="2:3" x14ac:dyDescent="0.25">
      <c r="B73" t="s">
        <v>111</v>
      </c>
      <c r="C73" s="27">
        <v>32</v>
      </c>
    </row>
    <row r="74" spans="2:3" x14ac:dyDescent="0.25">
      <c r="B74" t="s">
        <v>166</v>
      </c>
      <c r="C74" s="27" t="s">
        <v>100</v>
      </c>
    </row>
    <row r="75" spans="2:3" x14ac:dyDescent="0.25">
      <c r="B75" t="s">
        <v>167</v>
      </c>
      <c r="C75" s="27" t="s">
        <v>100</v>
      </c>
    </row>
    <row r="76" spans="2:3" x14ac:dyDescent="0.25">
      <c r="B76" t="s">
        <v>168</v>
      </c>
      <c r="C76" s="27" t="s">
        <v>100</v>
      </c>
    </row>
    <row r="77" spans="2:3" x14ac:dyDescent="0.25">
      <c r="B77" t="s">
        <v>169</v>
      </c>
      <c r="C77" s="27" t="s">
        <v>100</v>
      </c>
    </row>
    <row r="78" spans="2:3" x14ac:dyDescent="0.25">
      <c r="B78" t="s">
        <v>112</v>
      </c>
      <c r="C78" s="27">
        <v>705600</v>
      </c>
    </row>
    <row r="79" spans="2:3" x14ac:dyDescent="0.25">
      <c r="B79" t="s">
        <v>113</v>
      </c>
      <c r="C79" s="27">
        <v>132000</v>
      </c>
    </row>
    <row r="80" spans="2:3" x14ac:dyDescent="0.25">
      <c r="B80" t="s">
        <v>114</v>
      </c>
      <c r="C80" s="27">
        <v>545600</v>
      </c>
    </row>
    <row r="81" spans="2:3" x14ac:dyDescent="0.25">
      <c r="B81" t="s">
        <v>115</v>
      </c>
      <c r="C81" s="27">
        <v>100000</v>
      </c>
    </row>
    <row r="82" spans="2:3" x14ac:dyDescent="0.25">
      <c r="B82" t="s">
        <v>116</v>
      </c>
      <c r="C82" s="27">
        <v>705600</v>
      </c>
    </row>
    <row r="83" spans="2:3" x14ac:dyDescent="0.25">
      <c r="B83" t="s">
        <v>117</v>
      </c>
      <c r="C83" s="27">
        <v>132000</v>
      </c>
    </row>
    <row r="84" spans="2:3" x14ac:dyDescent="0.25">
      <c r="B84" t="s">
        <v>118</v>
      </c>
      <c r="C84" s="27">
        <v>705600</v>
      </c>
    </row>
    <row r="85" spans="2:3" x14ac:dyDescent="0.25">
      <c r="B85" t="s">
        <v>118</v>
      </c>
      <c r="C85" s="27">
        <v>132000</v>
      </c>
    </row>
    <row r="86" spans="2:3" x14ac:dyDescent="0.25">
      <c r="B86" t="s">
        <v>119</v>
      </c>
      <c r="C86" s="27">
        <v>14</v>
      </c>
    </row>
    <row r="87" spans="2:3" x14ac:dyDescent="0.25">
      <c r="B87" t="s">
        <v>120</v>
      </c>
      <c r="C87" s="27">
        <v>14</v>
      </c>
    </row>
    <row r="88" spans="2:3" x14ac:dyDescent="0.25">
      <c r="B88" t="s">
        <v>170</v>
      </c>
      <c r="C88" s="27">
        <v>2</v>
      </c>
    </row>
    <row r="89" spans="2:3" x14ac:dyDescent="0.25">
      <c r="B89" t="s">
        <v>171</v>
      </c>
      <c r="C89" s="27">
        <v>2</v>
      </c>
    </row>
    <row r="90" spans="2:3" x14ac:dyDescent="0.25">
      <c r="B90" t="s">
        <v>172</v>
      </c>
      <c r="C90" s="27">
        <v>2</v>
      </c>
    </row>
    <row r="91" spans="2:3" x14ac:dyDescent="0.25">
      <c r="B91" t="s">
        <v>173</v>
      </c>
      <c r="C91" s="27">
        <v>2</v>
      </c>
    </row>
    <row r="92" spans="2:3" x14ac:dyDescent="0.25">
      <c r="B92" t="s">
        <v>174</v>
      </c>
      <c r="C92" s="27">
        <v>20</v>
      </c>
    </row>
    <row r="93" spans="2:3" x14ac:dyDescent="0.25">
      <c r="B93" t="s">
        <v>175</v>
      </c>
      <c r="C93" s="27">
        <v>20</v>
      </c>
    </row>
    <row r="94" spans="2:3" x14ac:dyDescent="0.25">
      <c r="B94" t="s">
        <v>121</v>
      </c>
      <c r="C94" s="27">
        <v>10</v>
      </c>
    </row>
    <row r="95" spans="2:3" x14ac:dyDescent="0.25">
      <c r="B95" t="s">
        <v>122</v>
      </c>
      <c r="C95" s="27">
        <v>10</v>
      </c>
    </row>
    <row r="96" spans="2:3" x14ac:dyDescent="0.25">
      <c r="B96" t="s">
        <v>123</v>
      </c>
      <c r="C96" s="27">
        <v>20</v>
      </c>
    </row>
    <row r="97" spans="2:3" x14ac:dyDescent="0.25">
      <c r="B97" t="s">
        <v>124</v>
      </c>
      <c r="C97" s="27">
        <v>20</v>
      </c>
    </row>
    <row r="98" spans="2:3" x14ac:dyDescent="0.25">
      <c r="B98" t="s">
        <v>178</v>
      </c>
      <c r="C98" s="27">
        <v>1</v>
      </c>
    </row>
    <row r="99" spans="2:3" x14ac:dyDescent="0.25">
      <c r="B99" t="s">
        <v>179</v>
      </c>
      <c r="C99" s="27">
        <v>0</v>
      </c>
    </row>
    <row r="100" spans="2:3" x14ac:dyDescent="0.25">
      <c r="B100" t="s">
        <v>180</v>
      </c>
      <c r="C100" s="27">
        <v>1</v>
      </c>
    </row>
    <row r="101" spans="2:3" x14ac:dyDescent="0.25">
      <c r="B101" t="s">
        <v>181</v>
      </c>
      <c r="C101" s="27">
        <v>0</v>
      </c>
    </row>
    <row r="102" spans="2:3" x14ac:dyDescent="0.25">
      <c r="B102" t="s">
        <v>182</v>
      </c>
      <c r="C102" s="27">
        <v>0</v>
      </c>
    </row>
    <row r="103" spans="2:3" x14ac:dyDescent="0.25">
      <c r="B103" t="s">
        <v>183</v>
      </c>
      <c r="C103" s="27">
        <v>30</v>
      </c>
    </row>
    <row r="104" spans="2:3" x14ac:dyDescent="0.25">
      <c r="B104" t="s">
        <v>184</v>
      </c>
      <c r="C104" s="27">
        <v>30</v>
      </c>
    </row>
    <row r="105" spans="2:3" x14ac:dyDescent="0.25">
      <c r="B105" t="s">
        <v>185</v>
      </c>
      <c r="C105" s="27">
        <v>6</v>
      </c>
    </row>
    <row r="106" spans="2:3" x14ac:dyDescent="0.25">
      <c r="B106" t="s">
        <v>186</v>
      </c>
      <c r="C106" s="27">
        <v>6</v>
      </c>
    </row>
    <row r="107" spans="2:3" x14ac:dyDescent="0.25">
      <c r="B107" t="s">
        <v>187</v>
      </c>
      <c r="C107" s="27">
        <v>10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07"/>
  <sheetViews>
    <sheetView workbookViewId="0">
      <selection activeCell="P105" sqref="P105"/>
    </sheetView>
  </sheetViews>
  <sheetFormatPr defaultRowHeight="15" x14ac:dyDescent="0.25"/>
  <sheetData>
    <row r="1" spans="1:9" x14ac:dyDescent="0.25">
      <c r="A1" t="s">
        <v>18</v>
      </c>
      <c r="B1" t="s">
        <v>27</v>
      </c>
      <c r="C1" t="s">
        <v>12</v>
      </c>
      <c r="D1" t="s">
        <v>11</v>
      </c>
      <c r="E1" t="s">
        <v>10</v>
      </c>
    </row>
    <row r="2" spans="1:9" x14ac:dyDescent="0.25">
      <c r="B2" t="s">
        <v>3</v>
      </c>
      <c r="C2" s="2">
        <v>0</v>
      </c>
      <c r="D2" t="s">
        <v>9</v>
      </c>
      <c r="E2" t="s">
        <v>8</v>
      </c>
      <c r="F2" t="s">
        <v>4</v>
      </c>
      <c r="G2" t="s">
        <v>7</v>
      </c>
      <c r="H2">
        <v>101436</v>
      </c>
      <c r="I2">
        <v>805250</v>
      </c>
    </row>
    <row r="3" spans="1:9" x14ac:dyDescent="0.25">
      <c r="B3" t="s">
        <v>3</v>
      </c>
      <c r="C3" s="2">
        <v>4.1666666666666664E-2</v>
      </c>
      <c r="D3" t="s">
        <v>9</v>
      </c>
      <c r="E3" t="s">
        <v>8</v>
      </c>
      <c r="F3" t="s">
        <v>4</v>
      </c>
      <c r="G3" t="s">
        <v>7</v>
      </c>
      <c r="H3">
        <v>101344</v>
      </c>
      <c r="I3">
        <v>805250</v>
      </c>
    </row>
    <row r="4" spans="1:9" x14ac:dyDescent="0.25">
      <c r="B4" t="s">
        <v>3</v>
      </c>
      <c r="C4" s="2">
        <v>8.3333333333333329E-2</v>
      </c>
      <c r="D4" t="s">
        <v>9</v>
      </c>
      <c r="E4" t="s">
        <v>8</v>
      </c>
      <c r="F4" t="s">
        <v>4</v>
      </c>
      <c r="G4" t="s">
        <v>7</v>
      </c>
      <c r="H4">
        <v>100309</v>
      </c>
      <c r="I4">
        <v>804941</v>
      </c>
    </row>
    <row r="5" spans="1:9" x14ac:dyDescent="0.25">
      <c r="B5" t="s">
        <v>3</v>
      </c>
      <c r="C5" s="2">
        <v>0.125</v>
      </c>
      <c r="D5" t="s">
        <v>9</v>
      </c>
      <c r="E5" t="s">
        <v>8</v>
      </c>
      <c r="F5" t="s">
        <v>4</v>
      </c>
      <c r="G5" t="s">
        <v>7</v>
      </c>
      <c r="H5">
        <v>100712</v>
      </c>
      <c r="I5">
        <v>805250</v>
      </c>
    </row>
    <row r="6" spans="1:9" x14ac:dyDescent="0.25">
      <c r="B6" t="s">
        <v>3</v>
      </c>
      <c r="C6" s="2">
        <v>0.16666666666666666</v>
      </c>
      <c r="D6" t="s">
        <v>9</v>
      </c>
      <c r="E6" t="s">
        <v>8</v>
      </c>
      <c r="F6" t="s">
        <v>4</v>
      </c>
      <c r="G6" t="s">
        <v>7</v>
      </c>
      <c r="H6">
        <v>102380</v>
      </c>
      <c r="I6">
        <v>804930</v>
      </c>
    </row>
    <row r="7" spans="1:9" x14ac:dyDescent="0.25">
      <c r="B7" t="s">
        <v>3</v>
      </c>
      <c r="C7" s="2">
        <v>0.20833333333333334</v>
      </c>
      <c r="D7" t="s">
        <v>9</v>
      </c>
      <c r="E7" t="s">
        <v>8</v>
      </c>
      <c r="F7" t="s">
        <v>4</v>
      </c>
      <c r="G7" t="s">
        <v>7</v>
      </c>
      <c r="H7">
        <v>100972</v>
      </c>
      <c r="I7">
        <v>805241</v>
      </c>
    </row>
    <row r="8" spans="1:9" x14ac:dyDescent="0.25">
      <c r="B8" t="s">
        <v>3</v>
      </c>
      <c r="C8" s="2">
        <v>0.25</v>
      </c>
      <c r="D8" t="s">
        <v>9</v>
      </c>
      <c r="E8" t="s">
        <v>8</v>
      </c>
      <c r="F8" t="s">
        <v>4</v>
      </c>
      <c r="G8" t="s">
        <v>7</v>
      </c>
      <c r="H8">
        <v>100349</v>
      </c>
      <c r="I8">
        <v>805250</v>
      </c>
    </row>
    <row r="9" spans="1:9" x14ac:dyDescent="0.25">
      <c r="B9" t="s">
        <v>3</v>
      </c>
      <c r="C9" s="2">
        <v>0.29166666666666669</v>
      </c>
      <c r="D9" t="s">
        <v>9</v>
      </c>
      <c r="E9" t="s">
        <v>8</v>
      </c>
      <c r="F9" t="s">
        <v>4</v>
      </c>
      <c r="G9" t="s">
        <v>7</v>
      </c>
      <c r="H9">
        <v>99485</v>
      </c>
      <c r="I9">
        <v>804920</v>
      </c>
    </row>
    <row r="11" spans="1:9" x14ac:dyDescent="0.25">
      <c r="B11" t="s">
        <v>3</v>
      </c>
      <c r="C11" s="2">
        <v>0</v>
      </c>
      <c r="D11" t="s">
        <v>9</v>
      </c>
      <c r="E11" t="s">
        <v>8</v>
      </c>
      <c r="F11" t="s">
        <v>4</v>
      </c>
      <c r="G11" t="s">
        <v>7</v>
      </c>
      <c r="H11">
        <v>101596</v>
      </c>
      <c r="I11">
        <v>804930</v>
      </c>
    </row>
    <row r="12" spans="1:9" x14ac:dyDescent="0.25">
      <c r="B12" t="s">
        <v>3</v>
      </c>
      <c r="C12" s="2">
        <v>4.1666666666666664E-2</v>
      </c>
      <c r="D12" t="s">
        <v>9</v>
      </c>
      <c r="E12" t="s">
        <v>8</v>
      </c>
      <c r="F12" t="s">
        <v>4</v>
      </c>
      <c r="G12" t="s">
        <v>7</v>
      </c>
      <c r="H12">
        <v>100870</v>
      </c>
      <c r="I12">
        <v>805250</v>
      </c>
    </row>
    <row r="13" spans="1:9" x14ac:dyDescent="0.25">
      <c r="B13" t="s">
        <v>3</v>
      </c>
      <c r="C13" s="2">
        <v>8.3333333333333329E-2</v>
      </c>
      <c r="D13" t="s">
        <v>9</v>
      </c>
      <c r="E13" t="s">
        <v>8</v>
      </c>
      <c r="F13" t="s">
        <v>4</v>
      </c>
      <c r="G13" t="s">
        <v>7</v>
      </c>
      <c r="H13">
        <v>101556</v>
      </c>
      <c r="I13">
        <v>805250</v>
      </c>
    </row>
    <row r="14" spans="1:9" x14ac:dyDescent="0.25">
      <c r="B14" t="s">
        <v>3</v>
      </c>
      <c r="C14" s="2">
        <v>0.125</v>
      </c>
      <c r="D14" t="s">
        <v>9</v>
      </c>
      <c r="E14" t="s">
        <v>8</v>
      </c>
      <c r="F14" t="s">
        <v>4</v>
      </c>
      <c r="G14" t="s">
        <v>7</v>
      </c>
      <c r="H14">
        <v>100721</v>
      </c>
      <c r="I14">
        <v>804930</v>
      </c>
    </row>
    <row r="15" spans="1:9" x14ac:dyDescent="0.25">
      <c r="B15" t="s">
        <v>3</v>
      </c>
      <c r="C15" s="2">
        <v>0.16666666666666666</v>
      </c>
      <c r="D15" t="s">
        <v>9</v>
      </c>
      <c r="E15" t="s">
        <v>8</v>
      </c>
      <c r="F15" t="s">
        <v>4</v>
      </c>
      <c r="G15" t="s">
        <v>7</v>
      </c>
      <c r="H15">
        <v>102552</v>
      </c>
      <c r="I15">
        <v>805250</v>
      </c>
    </row>
    <row r="16" spans="1:9" x14ac:dyDescent="0.25">
      <c r="B16" t="s">
        <v>3</v>
      </c>
      <c r="C16" s="2">
        <v>0.20833333333333334</v>
      </c>
      <c r="D16" t="s">
        <v>9</v>
      </c>
      <c r="E16" t="s">
        <v>8</v>
      </c>
      <c r="F16" t="s">
        <v>4</v>
      </c>
      <c r="G16" t="s">
        <v>7</v>
      </c>
      <c r="H16">
        <v>101565</v>
      </c>
      <c r="I16">
        <v>805250</v>
      </c>
    </row>
    <row r="17" spans="1:9" x14ac:dyDescent="0.25">
      <c r="B17" t="s">
        <v>3</v>
      </c>
      <c r="C17" s="2">
        <v>0.25</v>
      </c>
      <c r="D17" t="s">
        <v>9</v>
      </c>
      <c r="E17" t="s">
        <v>8</v>
      </c>
      <c r="F17" t="s">
        <v>4</v>
      </c>
      <c r="G17" t="s">
        <v>7</v>
      </c>
      <c r="H17">
        <v>100158</v>
      </c>
      <c r="I17">
        <v>805250</v>
      </c>
    </row>
    <row r="18" spans="1:9" x14ac:dyDescent="0.25">
      <c r="B18" t="s">
        <v>3</v>
      </c>
      <c r="C18" s="2">
        <v>0.29166666666666669</v>
      </c>
      <c r="D18" t="s">
        <v>9</v>
      </c>
      <c r="E18" t="s">
        <v>8</v>
      </c>
      <c r="F18" t="s">
        <v>4</v>
      </c>
      <c r="G18" t="s">
        <v>7</v>
      </c>
      <c r="H18">
        <v>100138</v>
      </c>
      <c r="I18">
        <v>805250</v>
      </c>
    </row>
    <row r="20" spans="1:9" x14ac:dyDescent="0.25">
      <c r="B20" t="s">
        <v>3</v>
      </c>
      <c r="C20" s="2">
        <v>0</v>
      </c>
      <c r="D20" t="s">
        <v>9</v>
      </c>
      <c r="E20" t="s">
        <v>8</v>
      </c>
      <c r="F20" t="s">
        <v>4</v>
      </c>
      <c r="G20" t="s">
        <v>7</v>
      </c>
      <c r="H20">
        <v>100550</v>
      </c>
      <c r="I20">
        <v>805250</v>
      </c>
    </row>
    <row r="21" spans="1:9" x14ac:dyDescent="0.25">
      <c r="B21" t="s">
        <v>3</v>
      </c>
      <c r="C21" s="2">
        <v>4.1666666666666664E-2</v>
      </c>
      <c r="D21" t="s">
        <v>9</v>
      </c>
      <c r="E21" t="s">
        <v>8</v>
      </c>
      <c r="F21" t="s">
        <v>4</v>
      </c>
      <c r="G21" t="s">
        <v>7</v>
      </c>
      <c r="H21">
        <v>100870</v>
      </c>
      <c r="I21">
        <v>805241</v>
      </c>
    </row>
    <row r="22" spans="1:9" x14ac:dyDescent="0.25">
      <c r="B22" t="s">
        <v>3</v>
      </c>
      <c r="C22" s="2">
        <v>8.3333333333333329E-2</v>
      </c>
      <c r="D22" t="s">
        <v>9</v>
      </c>
      <c r="E22" t="s">
        <v>8</v>
      </c>
      <c r="F22" t="s">
        <v>4</v>
      </c>
      <c r="G22" t="s">
        <v>7</v>
      </c>
      <c r="H22">
        <v>100037</v>
      </c>
      <c r="I22">
        <v>805261</v>
      </c>
    </row>
    <row r="23" spans="1:9" x14ac:dyDescent="0.25">
      <c r="B23" t="s">
        <v>3</v>
      </c>
      <c r="C23" s="2">
        <v>0.125</v>
      </c>
      <c r="D23" t="s">
        <v>9</v>
      </c>
      <c r="E23" t="s">
        <v>8</v>
      </c>
      <c r="F23" t="s">
        <v>4</v>
      </c>
      <c r="G23" t="s">
        <v>7</v>
      </c>
      <c r="H23">
        <v>100630</v>
      </c>
      <c r="I23">
        <v>805250</v>
      </c>
    </row>
    <row r="24" spans="1:9" x14ac:dyDescent="0.25">
      <c r="B24" t="s">
        <v>3</v>
      </c>
      <c r="C24" s="2">
        <v>0.16666666666666666</v>
      </c>
      <c r="D24" t="s">
        <v>9</v>
      </c>
      <c r="E24" t="s">
        <v>8</v>
      </c>
      <c r="F24" t="s">
        <v>4</v>
      </c>
      <c r="G24" t="s">
        <v>7</v>
      </c>
      <c r="H24">
        <v>103034</v>
      </c>
      <c r="I24">
        <v>805250</v>
      </c>
    </row>
    <row r="25" spans="1:9" x14ac:dyDescent="0.25">
      <c r="B25" t="s">
        <v>3</v>
      </c>
      <c r="C25" s="2">
        <v>0.20833333333333334</v>
      </c>
      <c r="D25" t="s">
        <v>9</v>
      </c>
      <c r="E25" t="s">
        <v>8</v>
      </c>
      <c r="F25" t="s">
        <v>4</v>
      </c>
      <c r="G25" t="s">
        <v>7</v>
      </c>
      <c r="H25">
        <v>101485</v>
      </c>
      <c r="I25">
        <v>805250</v>
      </c>
    </row>
    <row r="26" spans="1:9" x14ac:dyDescent="0.25">
      <c r="B26" t="s">
        <v>3</v>
      </c>
      <c r="C26" s="2">
        <v>0.25</v>
      </c>
      <c r="D26" t="s">
        <v>9</v>
      </c>
      <c r="E26" t="s">
        <v>8</v>
      </c>
      <c r="F26" t="s">
        <v>4</v>
      </c>
      <c r="G26" t="s">
        <v>7</v>
      </c>
      <c r="H26">
        <v>100872</v>
      </c>
      <c r="I26">
        <v>805245</v>
      </c>
    </row>
    <row r="27" spans="1:9" x14ac:dyDescent="0.25">
      <c r="B27" t="s">
        <v>3</v>
      </c>
      <c r="C27" s="2">
        <v>0.29166666666666669</v>
      </c>
      <c r="D27" t="s">
        <v>9</v>
      </c>
      <c r="E27" t="s">
        <v>8</v>
      </c>
      <c r="F27" t="s">
        <v>4</v>
      </c>
      <c r="G27" t="s">
        <v>7</v>
      </c>
      <c r="H27">
        <v>100138</v>
      </c>
      <c r="I27">
        <v>805256</v>
      </c>
    </row>
    <row r="29" spans="1:9" x14ac:dyDescent="0.25">
      <c r="A29" t="s">
        <v>18</v>
      </c>
      <c r="B29" t="s">
        <v>26</v>
      </c>
      <c r="C29" t="s">
        <v>12</v>
      </c>
      <c r="D29" t="s">
        <v>11</v>
      </c>
      <c r="E29" t="s">
        <v>10</v>
      </c>
    </row>
    <row r="30" spans="1:9" x14ac:dyDescent="0.25">
      <c r="B30" t="s">
        <v>3</v>
      </c>
      <c r="C30" s="2">
        <v>0</v>
      </c>
      <c r="D30" t="s">
        <v>9</v>
      </c>
      <c r="E30" t="s">
        <v>8</v>
      </c>
      <c r="F30" t="s">
        <v>4</v>
      </c>
      <c r="G30" t="s">
        <v>7</v>
      </c>
      <c r="H30">
        <v>98678</v>
      </c>
      <c r="I30">
        <v>805250</v>
      </c>
    </row>
    <row r="31" spans="1:9" x14ac:dyDescent="0.25">
      <c r="B31" t="s">
        <v>3</v>
      </c>
      <c r="C31" s="2">
        <v>4.1666666666666664E-2</v>
      </c>
      <c r="D31" t="s">
        <v>9</v>
      </c>
      <c r="E31" t="s">
        <v>8</v>
      </c>
      <c r="F31" t="s">
        <v>4</v>
      </c>
      <c r="G31" t="s">
        <v>7</v>
      </c>
      <c r="H31">
        <v>97122</v>
      </c>
      <c r="I31">
        <v>786338</v>
      </c>
    </row>
    <row r="32" spans="1:9" x14ac:dyDescent="0.25">
      <c r="B32" t="s">
        <v>3</v>
      </c>
      <c r="C32" s="2">
        <v>8.3333333333333329E-2</v>
      </c>
      <c r="D32" t="s">
        <v>9</v>
      </c>
      <c r="E32" t="s">
        <v>8</v>
      </c>
      <c r="F32" t="s">
        <v>4</v>
      </c>
      <c r="G32" t="s">
        <v>7</v>
      </c>
      <c r="H32">
        <v>98890</v>
      </c>
      <c r="I32">
        <v>805250</v>
      </c>
    </row>
    <row r="33" spans="2:9" x14ac:dyDescent="0.25">
      <c r="B33" t="s">
        <v>3</v>
      </c>
      <c r="C33" s="2">
        <v>0.125</v>
      </c>
      <c r="D33" t="s">
        <v>9</v>
      </c>
      <c r="E33" t="s">
        <v>8</v>
      </c>
      <c r="F33" t="s">
        <v>4</v>
      </c>
      <c r="G33" t="s">
        <v>7</v>
      </c>
      <c r="H33">
        <v>96458</v>
      </c>
      <c r="I33">
        <v>805241</v>
      </c>
    </row>
    <row r="34" spans="2:9" x14ac:dyDescent="0.25">
      <c r="B34" t="s">
        <v>3</v>
      </c>
      <c r="C34" s="2">
        <v>0.16666666666666666</v>
      </c>
      <c r="D34" t="s">
        <v>9</v>
      </c>
      <c r="E34" t="s">
        <v>8</v>
      </c>
      <c r="F34" t="s">
        <v>4</v>
      </c>
      <c r="G34" t="s">
        <v>7</v>
      </c>
      <c r="H34">
        <v>98780</v>
      </c>
      <c r="I34">
        <v>805250</v>
      </c>
    </row>
    <row r="35" spans="2:9" x14ac:dyDescent="0.25">
      <c r="B35" t="s">
        <v>3</v>
      </c>
      <c r="C35" s="2">
        <v>0.20833333333333334</v>
      </c>
      <c r="D35" t="s">
        <v>9</v>
      </c>
      <c r="E35" t="s">
        <v>8</v>
      </c>
      <c r="F35" t="s">
        <v>4</v>
      </c>
      <c r="G35" t="s">
        <v>7</v>
      </c>
      <c r="H35">
        <v>97393</v>
      </c>
      <c r="I35">
        <v>785066</v>
      </c>
    </row>
    <row r="36" spans="2:9" x14ac:dyDescent="0.25">
      <c r="B36" t="s">
        <v>3</v>
      </c>
      <c r="C36" s="2">
        <v>0.25</v>
      </c>
      <c r="D36" t="s">
        <v>9</v>
      </c>
      <c r="E36" t="s">
        <v>8</v>
      </c>
      <c r="F36" t="s">
        <v>4</v>
      </c>
      <c r="G36" t="s">
        <v>7</v>
      </c>
      <c r="H36">
        <v>97564</v>
      </c>
      <c r="I36">
        <v>781862</v>
      </c>
    </row>
    <row r="37" spans="2:9" x14ac:dyDescent="0.25">
      <c r="B37" t="s">
        <v>3</v>
      </c>
      <c r="C37" s="2">
        <v>0.29166666666666669</v>
      </c>
      <c r="D37" t="s">
        <v>9</v>
      </c>
      <c r="E37" t="s">
        <v>8</v>
      </c>
      <c r="F37" t="s">
        <v>4</v>
      </c>
      <c r="G37" t="s">
        <v>7</v>
      </c>
      <c r="H37">
        <v>95716</v>
      </c>
      <c r="I37">
        <v>787310</v>
      </c>
    </row>
    <row r="39" spans="2:9" x14ac:dyDescent="0.25">
      <c r="B39" t="s">
        <v>3</v>
      </c>
      <c r="C39" s="2">
        <v>0</v>
      </c>
      <c r="D39" t="s">
        <v>9</v>
      </c>
      <c r="E39" t="s">
        <v>8</v>
      </c>
      <c r="F39" t="s">
        <v>4</v>
      </c>
      <c r="G39" t="s">
        <v>7</v>
      </c>
      <c r="H39">
        <v>98448</v>
      </c>
      <c r="I39">
        <v>792117</v>
      </c>
    </row>
    <row r="40" spans="2:9" x14ac:dyDescent="0.25">
      <c r="B40" t="s">
        <v>3</v>
      </c>
      <c r="C40" s="2">
        <v>4.1666666666666664E-2</v>
      </c>
      <c r="D40" t="s">
        <v>9</v>
      </c>
      <c r="E40" t="s">
        <v>8</v>
      </c>
      <c r="F40" t="s">
        <v>4</v>
      </c>
      <c r="G40" t="s">
        <v>7</v>
      </c>
      <c r="H40">
        <v>97554</v>
      </c>
      <c r="I40">
        <v>796604</v>
      </c>
    </row>
    <row r="41" spans="2:9" x14ac:dyDescent="0.25">
      <c r="B41" t="s">
        <v>3</v>
      </c>
      <c r="C41" s="2">
        <v>8.3333333333333329E-2</v>
      </c>
      <c r="D41" t="s">
        <v>9</v>
      </c>
      <c r="E41" t="s">
        <v>8</v>
      </c>
      <c r="F41" t="s">
        <v>4</v>
      </c>
      <c r="G41" t="s">
        <v>7</v>
      </c>
      <c r="H41">
        <v>98206</v>
      </c>
      <c r="I41">
        <v>786349</v>
      </c>
    </row>
    <row r="42" spans="2:9" x14ac:dyDescent="0.25">
      <c r="B42" t="s">
        <v>3</v>
      </c>
      <c r="C42" s="2">
        <v>0.125</v>
      </c>
      <c r="D42" t="s">
        <v>9</v>
      </c>
      <c r="E42" t="s">
        <v>8</v>
      </c>
      <c r="F42" t="s">
        <v>4</v>
      </c>
      <c r="G42" t="s">
        <v>7</v>
      </c>
      <c r="H42">
        <v>96298</v>
      </c>
      <c r="I42">
        <v>803653</v>
      </c>
    </row>
    <row r="43" spans="2:9" x14ac:dyDescent="0.25">
      <c r="B43" t="s">
        <v>3</v>
      </c>
      <c r="C43" s="2">
        <v>0.16666666666666666</v>
      </c>
      <c r="D43" t="s">
        <v>9</v>
      </c>
      <c r="E43" t="s">
        <v>8</v>
      </c>
      <c r="F43" t="s">
        <v>4</v>
      </c>
      <c r="G43" t="s">
        <v>7</v>
      </c>
      <c r="H43">
        <v>98809</v>
      </c>
      <c r="I43">
        <v>805245</v>
      </c>
    </row>
    <row r="44" spans="2:9" x14ac:dyDescent="0.25">
      <c r="B44" t="s">
        <v>3</v>
      </c>
      <c r="C44" s="2">
        <v>0.20833333333333334</v>
      </c>
      <c r="D44" t="s">
        <v>9</v>
      </c>
      <c r="E44" t="s">
        <v>8</v>
      </c>
      <c r="F44" t="s">
        <v>4</v>
      </c>
      <c r="G44" t="s">
        <v>7</v>
      </c>
      <c r="H44">
        <v>97634</v>
      </c>
      <c r="I44">
        <v>789222</v>
      </c>
    </row>
    <row r="45" spans="2:9" x14ac:dyDescent="0.25">
      <c r="B45" t="s">
        <v>3</v>
      </c>
      <c r="C45" s="2">
        <v>0.25</v>
      </c>
      <c r="D45" t="s">
        <v>9</v>
      </c>
      <c r="E45" t="s">
        <v>8</v>
      </c>
      <c r="F45" t="s">
        <v>4</v>
      </c>
      <c r="G45" t="s">
        <v>7</v>
      </c>
      <c r="H45">
        <v>97162</v>
      </c>
      <c r="I45">
        <v>780581</v>
      </c>
    </row>
    <row r="46" spans="2:9" x14ac:dyDescent="0.25">
      <c r="B46" t="s">
        <v>3</v>
      </c>
      <c r="C46" s="2">
        <v>0.29166666666666669</v>
      </c>
      <c r="D46" t="s">
        <v>9</v>
      </c>
      <c r="E46" t="s">
        <v>8</v>
      </c>
      <c r="F46" t="s">
        <v>4</v>
      </c>
      <c r="G46" t="s">
        <v>7</v>
      </c>
      <c r="H46">
        <v>95806</v>
      </c>
      <c r="I46">
        <v>800438</v>
      </c>
    </row>
    <row r="48" spans="2:9" x14ac:dyDescent="0.25">
      <c r="B48" t="s">
        <v>3</v>
      </c>
      <c r="C48" s="2">
        <v>0</v>
      </c>
      <c r="D48" t="s">
        <v>9</v>
      </c>
      <c r="E48" t="s">
        <v>8</v>
      </c>
      <c r="F48" t="s">
        <v>4</v>
      </c>
      <c r="G48" t="s">
        <v>7</v>
      </c>
      <c r="H48">
        <v>97282</v>
      </c>
      <c r="I48">
        <v>788592</v>
      </c>
    </row>
    <row r="49" spans="1:9" x14ac:dyDescent="0.25">
      <c r="B49" t="s">
        <v>3</v>
      </c>
      <c r="C49" s="2">
        <v>4.1666666666666664E-2</v>
      </c>
      <c r="D49" t="s">
        <v>9</v>
      </c>
      <c r="E49" t="s">
        <v>8</v>
      </c>
      <c r="F49" t="s">
        <v>4</v>
      </c>
      <c r="G49" t="s">
        <v>7</v>
      </c>
      <c r="H49">
        <v>97001</v>
      </c>
      <c r="I49">
        <v>789542</v>
      </c>
    </row>
    <row r="50" spans="1:9" x14ac:dyDescent="0.25">
      <c r="B50" t="s">
        <v>3</v>
      </c>
      <c r="C50" s="2">
        <v>8.3333333333333329E-2</v>
      </c>
      <c r="D50" t="s">
        <v>9</v>
      </c>
      <c r="E50" t="s">
        <v>8</v>
      </c>
      <c r="F50" t="s">
        <v>4</v>
      </c>
      <c r="G50" t="s">
        <v>7</v>
      </c>
      <c r="H50">
        <v>97322</v>
      </c>
      <c r="I50">
        <v>793720</v>
      </c>
    </row>
    <row r="51" spans="1:9" x14ac:dyDescent="0.25">
      <c r="B51" t="s">
        <v>3</v>
      </c>
      <c r="C51" s="2">
        <v>0.125</v>
      </c>
      <c r="D51" t="s">
        <v>9</v>
      </c>
      <c r="E51" t="s">
        <v>8</v>
      </c>
      <c r="F51" t="s">
        <v>4</v>
      </c>
      <c r="G51" t="s">
        <v>7</v>
      </c>
      <c r="H51">
        <v>96389</v>
      </c>
      <c r="I51">
        <v>805245</v>
      </c>
    </row>
    <row r="52" spans="1:9" x14ac:dyDescent="0.25">
      <c r="B52" t="s">
        <v>3</v>
      </c>
      <c r="C52" s="2">
        <v>0.16666666666666666</v>
      </c>
      <c r="D52" t="s">
        <v>9</v>
      </c>
      <c r="E52" t="s">
        <v>8</v>
      </c>
      <c r="F52" t="s">
        <v>4</v>
      </c>
      <c r="G52" t="s">
        <v>7</v>
      </c>
      <c r="H52">
        <v>97965</v>
      </c>
      <c r="I52">
        <v>805245</v>
      </c>
    </row>
    <row r="53" spans="1:9" x14ac:dyDescent="0.25">
      <c r="B53" t="s">
        <v>3</v>
      </c>
      <c r="C53" s="2">
        <v>0.20833333333333334</v>
      </c>
      <c r="D53" t="s">
        <v>9</v>
      </c>
      <c r="E53" t="s">
        <v>8</v>
      </c>
      <c r="F53" t="s">
        <v>4</v>
      </c>
      <c r="G53" t="s">
        <v>7</v>
      </c>
      <c r="H53">
        <v>96438</v>
      </c>
      <c r="I53">
        <v>773530</v>
      </c>
    </row>
    <row r="54" spans="1:9" x14ac:dyDescent="0.25">
      <c r="B54" t="s">
        <v>3</v>
      </c>
      <c r="C54" s="2">
        <v>0.25</v>
      </c>
      <c r="D54" t="s">
        <v>9</v>
      </c>
      <c r="E54" t="s">
        <v>8</v>
      </c>
      <c r="F54" t="s">
        <v>4</v>
      </c>
      <c r="G54" t="s">
        <v>7</v>
      </c>
      <c r="H54">
        <v>96438</v>
      </c>
      <c r="I54">
        <v>792117</v>
      </c>
    </row>
    <row r="55" spans="1:9" x14ac:dyDescent="0.25">
      <c r="B55" t="s">
        <v>3</v>
      </c>
      <c r="C55" s="2">
        <v>0.29166666666666669</v>
      </c>
      <c r="D55" t="s">
        <v>9</v>
      </c>
      <c r="E55" t="s">
        <v>8</v>
      </c>
      <c r="F55" t="s">
        <v>4</v>
      </c>
      <c r="G55" t="s">
        <v>7</v>
      </c>
      <c r="H55">
        <v>94610</v>
      </c>
      <c r="I55">
        <v>789233</v>
      </c>
    </row>
    <row r="57" spans="1:9" x14ac:dyDescent="0.25">
      <c r="A57" t="s">
        <v>18</v>
      </c>
      <c r="B57" t="s">
        <v>25</v>
      </c>
      <c r="C57" t="s">
        <v>12</v>
      </c>
      <c r="D57" t="s">
        <v>11</v>
      </c>
      <c r="E57" t="s">
        <v>10</v>
      </c>
    </row>
    <row r="58" spans="1:9" x14ac:dyDescent="0.25">
      <c r="B58" t="s">
        <v>3</v>
      </c>
      <c r="C58" s="2">
        <v>0</v>
      </c>
      <c r="D58" t="s">
        <v>9</v>
      </c>
      <c r="E58" t="s">
        <v>8</v>
      </c>
      <c r="F58" t="s">
        <v>4</v>
      </c>
      <c r="G58" t="s">
        <v>7</v>
      </c>
      <c r="H58">
        <v>93612</v>
      </c>
      <c r="I58">
        <v>775122</v>
      </c>
    </row>
    <row r="59" spans="1:9" x14ac:dyDescent="0.25">
      <c r="B59" t="s">
        <v>3</v>
      </c>
      <c r="C59" s="2">
        <v>4.1666666666666664E-2</v>
      </c>
      <c r="D59" t="s">
        <v>9</v>
      </c>
      <c r="E59" t="s">
        <v>8</v>
      </c>
      <c r="F59" t="s">
        <v>4</v>
      </c>
      <c r="G59" t="s">
        <v>7</v>
      </c>
      <c r="H59">
        <v>93038</v>
      </c>
      <c r="I59">
        <v>751729</v>
      </c>
    </row>
    <row r="60" spans="1:9" x14ac:dyDescent="0.25">
      <c r="B60" t="s">
        <v>3</v>
      </c>
      <c r="C60" s="2">
        <v>8.3333333333333329E-2</v>
      </c>
      <c r="D60" t="s">
        <v>9</v>
      </c>
      <c r="E60" t="s">
        <v>8</v>
      </c>
      <c r="F60" t="s">
        <v>4</v>
      </c>
      <c r="G60" t="s">
        <v>7</v>
      </c>
      <c r="H60">
        <v>94114</v>
      </c>
      <c r="I60">
        <v>769674</v>
      </c>
    </row>
    <row r="61" spans="1:9" x14ac:dyDescent="0.25">
      <c r="B61" t="s">
        <v>3</v>
      </c>
      <c r="C61" s="2">
        <v>0.125</v>
      </c>
      <c r="D61" t="s">
        <v>9</v>
      </c>
      <c r="E61" t="s">
        <v>8</v>
      </c>
      <c r="F61" t="s">
        <v>4</v>
      </c>
      <c r="G61" t="s">
        <v>7</v>
      </c>
      <c r="H61">
        <v>92105</v>
      </c>
      <c r="I61">
        <v>773520</v>
      </c>
    </row>
    <row r="62" spans="1:9" x14ac:dyDescent="0.25">
      <c r="B62" t="s">
        <v>3</v>
      </c>
      <c r="C62" s="2">
        <v>0.16666666666666666</v>
      </c>
      <c r="D62" t="s">
        <v>9</v>
      </c>
      <c r="E62" t="s">
        <v>8</v>
      </c>
      <c r="F62" t="s">
        <v>4</v>
      </c>
      <c r="G62" t="s">
        <v>7</v>
      </c>
      <c r="H62">
        <v>94265</v>
      </c>
      <c r="I62">
        <v>778968</v>
      </c>
    </row>
    <row r="63" spans="1:9" x14ac:dyDescent="0.25">
      <c r="B63" t="s">
        <v>3</v>
      </c>
      <c r="C63" s="2">
        <v>0.20833333333333334</v>
      </c>
      <c r="D63" t="s">
        <v>9</v>
      </c>
      <c r="E63" t="s">
        <v>8</v>
      </c>
      <c r="F63" t="s">
        <v>4</v>
      </c>
      <c r="G63" t="s">
        <v>7</v>
      </c>
      <c r="H63">
        <v>93612</v>
      </c>
      <c r="I63">
        <v>770316</v>
      </c>
    </row>
    <row r="64" spans="1:9" x14ac:dyDescent="0.25">
      <c r="B64" t="s">
        <v>3</v>
      </c>
      <c r="C64" s="2">
        <v>0.25</v>
      </c>
      <c r="D64" t="s">
        <v>9</v>
      </c>
      <c r="E64" t="s">
        <v>8</v>
      </c>
      <c r="F64" t="s">
        <v>4</v>
      </c>
      <c r="G64" t="s">
        <v>7</v>
      </c>
      <c r="H64">
        <v>93712</v>
      </c>
      <c r="I64">
        <v>748525</v>
      </c>
    </row>
    <row r="65" spans="1:9" x14ac:dyDescent="0.25">
      <c r="B65" t="s">
        <v>3</v>
      </c>
      <c r="C65" s="2">
        <v>0.29166666666666669</v>
      </c>
      <c r="D65" t="s">
        <v>9</v>
      </c>
      <c r="E65" t="s">
        <v>8</v>
      </c>
      <c r="F65" t="s">
        <v>4</v>
      </c>
      <c r="G65" t="s">
        <v>7</v>
      </c>
      <c r="H65">
        <v>90396</v>
      </c>
      <c r="I65">
        <v>758458</v>
      </c>
    </row>
    <row r="67" spans="1:9" x14ac:dyDescent="0.25">
      <c r="B67" t="s">
        <v>3</v>
      </c>
      <c r="C67" s="2">
        <v>0</v>
      </c>
      <c r="D67" t="s">
        <v>9</v>
      </c>
      <c r="E67" t="s">
        <v>8</v>
      </c>
      <c r="F67" t="s">
        <v>4</v>
      </c>
      <c r="G67" t="s">
        <v>7</v>
      </c>
      <c r="H67">
        <v>92526</v>
      </c>
      <c r="I67">
        <v>761022</v>
      </c>
    </row>
    <row r="68" spans="1:9" x14ac:dyDescent="0.25">
      <c r="B68" t="s">
        <v>3</v>
      </c>
      <c r="C68" s="2">
        <v>4.1666666666666664E-2</v>
      </c>
      <c r="D68" t="s">
        <v>9</v>
      </c>
      <c r="E68" t="s">
        <v>8</v>
      </c>
      <c r="F68" t="s">
        <v>4</v>
      </c>
      <c r="G68" t="s">
        <v>7</v>
      </c>
      <c r="H68">
        <v>93461</v>
      </c>
      <c r="I68">
        <v>756857</v>
      </c>
    </row>
    <row r="69" spans="1:9" x14ac:dyDescent="0.25">
      <c r="B69" t="s">
        <v>3</v>
      </c>
      <c r="C69" s="2">
        <v>8.3333333333333329E-2</v>
      </c>
      <c r="D69" t="s">
        <v>9</v>
      </c>
      <c r="E69" t="s">
        <v>8</v>
      </c>
      <c r="F69" t="s">
        <v>4</v>
      </c>
      <c r="G69" t="s">
        <v>7</v>
      </c>
      <c r="H69">
        <v>93490</v>
      </c>
      <c r="I69">
        <v>767112</v>
      </c>
    </row>
    <row r="70" spans="1:9" x14ac:dyDescent="0.25">
      <c r="B70" t="s">
        <v>3</v>
      </c>
      <c r="C70" s="2">
        <v>0.125</v>
      </c>
      <c r="D70" t="s">
        <v>9</v>
      </c>
      <c r="E70" t="s">
        <v>8</v>
      </c>
      <c r="F70" t="s">
        <v>4</v>
      </c>
      <c r="G70" t="s">
        <v>7</v>
      </c>
      <c r="H70">
        <v>91662</v>
      </c>
      <c r="I70">
        <v>778006</v>
      </c>
    </row>
    <row r="71" spans="1:9" x14ac:dyDescent="0.25">
      <c r="B71" t="s">
        <v>3</v>
      </c>
      <c r="C71" s="2">
        <v>0.16666666666666666</v>
      </c>
      <c r="D71" t="s">
        <v>9</v>
      </c>
      <c r="E71" t="s">
        <v>8</v>
      </c>
      <c r="F71" t="s">
        <v>4</v>
      </c>
      <c r="G71" t="s">
        <v>7</v>
      </c>
      <c r="H71">
        <v>95412</v>
      </c>
      <c r="I71">
        <v>778006</v>
      </c>
    </row>
    <row r="72" spans="1:9" x14ac:dyDescent="0.25">
      <c r="B72" t="s">
        <v>3</v>
      </c>
      <c r="C72" s="2">
        <v>0.20833333333333334</v>
      </c>
      <c r="D72" t="s">
        <v>9</v>
      </c>
      <c r="E72" t="s">
        <v>8</v>
      </c>
      <c r="F72" t="s">
        <v>4</v>
      </c>
      <c r="G72" t="s">
        <v>7</v>
      </c>
      <c r="H72">
        <v>92436</v>
      </c>
      <c r="I72">
        <v>747884</v>
      </c>
    </row>
    <row r="73" spans="1:9" x14ac:dyDescent="0.25">
      <c r="B73" t="s">
        <v>3</v>
      </c>
      <c r="C73" s="2">
        <v>0.25</v>
      </c>
      <c r="D73" t="s">
        <v>9</v>
      </c>
      <c r="E73" t="s">
        <v>8</v>
      </c>
      <c r="F73" t="s">
        <v>4</v>
      </c>
      <c r="G73" t="s">
        <v>7</v>
      </c>
      <c r="H73">
        <v>94002</v>
      </c>
      <c r="I73">
        <v>755574</v>
      </c>
    </row>
    <row r="74" spans="1:9" x14ac:dyDescent="0.25">
      <c r="B74" t="s">
        <v>3</v>
      </c>
      <c r="C74" s="2">
        <v>0.29166666666666669</v>
      </c>
      <c r="D74" t="s">
        <v>9</v>
      </c>
      <c r="E74" t="s">
        <v>8</v>
      </c>
      <c r="F74" t="s">
        <v>4</v>
      </c>
      <c r="G74" t="s">
        <v>7</v>
      </c>
      <c r="H74">
        <v>89621</v>
      </c>
      <c r="I74">
        <v>766470</v>
      </c>
    </row>
    <row r="76" spans="1:9" x14ac:dyDescent="0.25">
      <c r="A76" t="s">
        <v>18</v>
      </c>
      <c r="B76" t="s">
        <v>24</v>
      </c>
      <c r="C76" t="s">
        <v>12</v>
      </c>
      <c r="D76" t="s">
        <v>11</v>
      </c>
      <c r="E76" t="s">
        <v>10</v>
      </c>
    </row>
    <row r="77" spans="1:9" x14ac:dyDescent="0.25">
      <c r="B77" t="s">
        <v>3</v>
      </c>
      <c r="C77" s="2">
        <v>0</v>
      </c>
      <c r="D77" t="s">
        <v>9</v>
      </c>
      <c r="E77" t="s">
        <v>8</v>
      </c>
      <c r="F77" t="s">
        <v>4</v>
      </c>
      <c r="G77" t="s">
        <v>7</v>
      </c>
      <c r="H77">
        <v>92464</v>
      </c>
      <c r="I77">
        <v>732202</v>
      </c>
    </row>
    <row r="78" spans="1:9" x14ac:dyDescent="0.25">
      <c r="B78" t="s">
        <v>3</v>
      </c>
      <c r="C78" s="2">
        <v>4.1666666666666664E-2</v>
      </c>
      <c r="D78" t="s">
        <v>9</v>
      </c>
      <c r="E78" t="s">
        <v>8</v>
      </c>
      <c r="F78" t="s">
        <v>4</v>
      </c>
      <c r="G78" t="s">
        <v>7</v>
      </c>
      <c r="H78">
        <v>90866</v>
      </c>
      <c r="I78">
        <v>727705</v>
      </c>
    </row>
    <row r="79" spans="1:9" x14ac:dyDescent="0.25">
      <c r="B79" t="s">
        <v>3</v>
      </c>
      <c r="C79" s="2">
        <v>8.3333333333333329E-2</v>
      </c>
      <c r="D79" t="s">
        <v>9</v>
      </c>
      <c r="E79" t="s">
        <v>8</v>
      </c>
      <c r="F79" t="s">
        <v>4</v>
      </c>
      <c r="G79" t="s">
        <v>7</v>
      </c>
      <c r="H79">
        <v>92142</v>
      </c>
      <c r="I79">
        <v>741496</v>
      </c>
    </row>
    <row r="80" spans="1:9" x14ac:dyDescent="0.25">
      <c r="B80" t="s">
        <v>3</v>
      </c>
      <c r="C80" s="2">
        <v>0.125</v>
      </c>
      <c r="D80" t="s">
        <v>9</v>
      </c>
      <c r="E80" t="s">
        <v>8</v>
      </c>
      <c r="F80" t="s">
        <v>4</v>
      </c>
      <c r="G80" t="s">
        <v>7</v>
      </c>
      <c r="H80">
        <v>89220</v>
      </c>
      <c r="I80">
        <v>742777</v>
      </c>
    </row>
    <row r="81" spans="1:9" x14ac:dyDescent="0.25">
      <c r="B81" t="s">
        <v>3</v>
      </c>
      <c r="C81" s="2">
        <v>0.16666666666666666</v>
      </c>
      <c r="D81" t="s">
        <v>9</v>
      </c>
      <c r="E81" t="s">
        <v>8</v>
      </c>
      <c r="F81" t="s">
        <v>4</v>
      </c>
      <c r="G81" t="s">
        <v>7</v>
      </c>
      <c r="H81">
        <v>92756</v>
      </c>
      <c r="I81">
        <v>742766</v>
      </c>
    </row>
    <row r="82" spans="1:9" x14ac:dyDescent="0.25">
      <c r="B82" t="s">
        <v>3</v>
      </c>
      <c r="C82" s="2">
        <v>0.20833333333333334</v>
      </c>
      <c r="D82" t="s">
        <v>9</v>
      </c>
      <c r="E82" t="s">
        <v>8</v>
      </c>
      <c r="F82" t="s">
        <v>4</v>
      </c>
      <c r="G82" t="s">
        <v>7</v>
      </c>
      <c r="H82">
        <v>91972</v>
      </c>
      <c r="I82">
        <v>713566</v>
      </c>
    </row>
    <row r="83" spans="1:9" x14ac:dyDescent="0.25">
      <c r="B83" t="s">
        <v>3</v>
      </c>
      <c r="C83" s="2">
        <v>0.25</v>
      </c>
      <c r="D83" t="s">
        <v>9</v>
      </c>
      <c r="E83" t="s">
        <v>8</v>
      </c>
      <c r="F83" t="s">
        <v>4</v>
      </c>
      <c r="G83" t="s">
        <v>7</v>
      </c>
      <c r="H83">
        <v>91680</v>
      </c>
      <c r="I83">
        <v>727065</v>
      </c>
    </row>
    <row r="84" spans="1:9" x14ac:dyDescent="0.25">
      <c r="B84" t="s">
        <v>3</v>
      </c>
      <c r="C84" s="2">
        <v>0.29166666666666669</v>
      </c>
      <c r="D84" t="s">
        <v>9</v>
      </c>
      <c r="E84" t="s">
        <v>8</v>
      </c>
      <c r="F84" t="s">
        <v>4</v>
      </c>
      <c r="G84" t="s">
        <v>7</v>
      </c>
      <c r="H84">
        <v>86777</v>
      </c>
      <c r="I84">
        <v>737960</v>
      </c>
    </row>
    <row r="86" spans="1:9" x14ac:dyDescent="0.25">
      <c r="B86" t="s">
        <v>3</v>
      </c>
      <c r="C86" s="2">
        <v>0</v>
      </c>
      <c r="D86" t="s">
        <v>9</v>
      </c>
      <c r="E86" t="s">
        <v>8</v>
      </c>
      <c r="F86" t="s">
        <v>4</v>
      </c>
      <c r="G86" t="s">
        <v>7</v>
      </c>
      <c r="H86">
        <v>91108</v>
      </c>
      <c r="I86">
        <v>735397</v>
      </c>
    </row>
    <row r="87" spans="1:9" x14ac:dyDescent="0.25">
      <c r="B87" t="s">
        <v>3</v>
      </c>
      <c r="C87" s="2">
        <v>4.1666666666666664E-2</v>
      </c>
      <c r="D87" t="s">
        <v>9</v>
      </c>
      <c r="E87" t="s">
        <v>8</v>
      </c>
      <c r="F87" t="s">
        <v>4</v>
      </c>
      <c r="G87" t="s">
        <v>7</v>
      </c>
      <c r="H87">
        <v>92182</v>
      </c>
      <c r="I87">
        <v>721894</v>
      </c>
    </row>
    <row r="88" spans="1:9" x14ac:dyDescent="0.25">
      <c r="B88" t="s">
        <v>3</v>
      </c>
      <c r="C88" s="2">
        <v>8.3333333333333329E-2</v>
      </c>
      <c r="D88" t="s">
        <v>9</v>
      </c>
      <c r="E88" t="s">
        <v>8</v>
      </c>
      <c r="F88" t="s">
        <v>4</v>
      </c>
      <c r="G88" t="s">
        <v>7</v>
      </c>
      <c r="H88">
        <v>91309</v>
      </c>
      <c r="I88">
        <v>742116</v>
      </c>
    </row>
    <row r="89" spans="1:9" x14ac:dyDescent="0.25">
      <c r="B89" t="s">
        <v>3</v>
      </c>
      <c r="C89" s="2">
        <v>0.125</v>
      </c>
      <c r="D89" t="s">
        <v>9</v>
      </c>
      <c r="E89" t="s">
        <v>8</v>
      </c>
      <c r="F89" t="s">
        <v>4</v>
      </c>
      <c r="G89" t="s">
        <v>7</v>
      </c>
      <c r="H89">
        <v>88737</v>
      </c>
      <c r="I89">
        <v>747584</v>
      </c>
    </row>
    <row r="90" spans="1:9" x14ac:dyDescent="0.25">
      <c r="B90" t="s">
        <v>3</v>
      </c>
      <c r="C90" s="2">
        <v>0.16666666666666666</v>
      </c>
      <c r="D90" t="s">
        <v>9</v>
      </c>
      <c r="E90" t="s">
        <v>8</v>
      </c>
      <c r="F90" t="s">
        <v>4</v>
      </c>
      <c r="G90" t="s">
        <v>7</v>
      </c>
      <c r="H90">
        <v>91309</v>
      </c>
      <c r="I90">
        <v>745330</v>
      </c>
    </row>
    <row r="91" spans="1:9" x14ac:dyDescent="0.25">
      <c r="B91" t="s">
        <v>3</v>
      </c>
      <c r="C91" s="2">
        <v>0.20833333333333334</v>
      </c>
      <c r="D91" t="s">
        <v>9</v>
      </c>
      <c r="E91" t="s">
        <v>8</v>
      </c>
      <c r="F91" t="s">
        <v>4</v>
      </c>
      <c r="G91" t="s">
        <v>7</v>
      </c>
      <c r="H91">
        <v>90122</v>
      </c>
      <c r="I91">
        <v>720933</v>
      </c>
    </row>
    <row r="92" spans="1:9" x14ac:dyDescent="0.25">
      <c r="B92" t="s">
        <v>3</v>
      </c>
      <c r="C92" s="2">
        <v>0.25</v>
      </c>
      <c r="D92" t="s">
        <v>9</v>
      </c>
      <c r="E92" t="s">
        <v>8</v>
      </c>
      <c r="F92" t="s">
        <v>4</v>
      </c>
      <c r="G92" t="s">
        <v>7</v>
      </c>
      <c r="H92">
        <v>89288</v>
      </c>
      <c r="I92">
        <v>719012</v>
      </c>
    </row>
    <row r="93" spans="1:9" x14ac:dyDescent="0.25">
      <c r="B93" t="s">
        <v>3</v>
      </c>
      <c r="C93" s="2">
        <v>0.29166666666666669</v>
      </c>
      <c r="D93" t="s">
        <v>9</v>
      </c>
      <c r="E93" t="s">
        <v>8</v>
      </c>
      <c r="F93" t="s">
        <v>4</v>
      </c>
      <c r="G93" t="s">
        <v>7</v>
      </c>
      <c r="H93">
        <v>86144</v>
      </c>
      <c r="I93">
        <v>730590</v>
      </c>
    </row>
    <row r="95" spans="1:9" x14ac:dyDescent="0.25">
      <c r="A95" t="s">
        <v>18</v>
      </c>
      <c r="B95" t="s">
        <v>23</v>
      </c>
      <c r="C95" t="s">
        <v>12</v>
      </c>
      <c r="D95" t="s">
        <v>11</v>
      </c>
      <c r="E95" t="s">
        <v>10</v>
      </c>
    </row>
    <row r="96" spans="1:9" x14ac:dyDescent="0.25">
      <c r="B96" t="s">
        <v>3</v>
      </c>
      <c r="C96" s="2">
        <v>0</v>
      </c>
      <c r="D96" t="s">
        <v>9</v>
      </c>
      <c r="E96" t="s">
        <v>8</v>
      </c>
      <c r="F96" t="s">
        <v>4</v>
      </c>
      <c r="G96" t="s">
        <v>7</v>
      </c>
      <c r="H96">
        <v>82942</v>
      </c>
      <c r="I96">
        <v>641552</v>
      </c>
    </row>
    <row r="97" spans="2:9" x14ac:dyDescent="0.25">
      <c r="B97" t="s">
        <v>3</v>
      </c>
      <c r="C97" s="2">
        <v>4.1666666666666664E-2</v>
      </c>
      <c r="D97" t="s">
        <v>9</v>
      </c>
      <c r="E97" t="s">
        <v>8</v>
      </c>
      <c r="F97" t="s">
        <v>4</v>
      </c>
      <c r="G97" t="s">
        <v>7</v>
      </c>
      <c r="H97">
        <v>79948</v>
      </c>
      <c r="I97">
        <v>623285</v>
      </c>
    </row>
    <row r="98" spans="2:9" x14ac:dyDescent="0.25">
      <c r="B98" t="s">
        <v>3</v>
      </c>
      <c r="C98" s="2">
        <v>8.3333333333333329E-2</v>
      </c>
      <c r="D98" t="s">
        <v>9</v>
      </c>
      <c r="E98" t="s">
        <v>8</v>
      </c>
      <c r="F98" t="s">
        <v>4</v>
      </c>
      <c r="G98" t="s">
        <v>7</v>
      </c>
      <c r="H98">
        <v>82610</v>
      </c>
      <c r="I98">
        <v>635456</v>
      </c>
    </row>
    <row r="99" spans="2:9" x14ac:dyDescent="0.25">
      <c r="B99" t="s">
        <v>3</v>
      </c>
      <c r="C99" s="2">
        <v>0.125</v>
      </c>
      <c r="D99" t="s">
        <v>9</v>
      </c>
      <c r="E99" t="s">
        <v>8</v>
      </c>
      <c r="F99" t="s">
        <v>4</v>
      </c>
      <c r="G99" t="s">
        <v>7</v>
      </c>
      <c r="H99">
        <v>75638</v>
      </c>
      <c r="I99">
        <v>659809</v>
      </c>
    </row>
    <row r="100" spans="2:9" x14ac:dyDescent="0.25">
      <c r="B100" t="s">
        <v>3</v>
      </c>
      <c r="C100" s="2">
        <v>0.16666666666666666</v>
      </c>
      <c r="D100" t="s">
        <v>9</v>
      </c>
      <c r="E100" t="s">
        <v>8</v>
      </c>
      <c r="F100" t="s">
        <v>4</v>
      </c>
      <c r="G100" t="s">
        <v>7</v>
      </c>
      <c r="H100">
        <v>82561</v>
      </c>
      <c r="I100">
        <v>660760</v>
      </c>
    </row>
    <row r="101" spans="2:9" x14ac:dyDescent="0.25">
      <c r="B101" t="s">
        <v>3</v>
      </c>
      <c r="C101" s="2">
        <v>0.20833333333333334</v>
      </c>
      <c r="D101" t="s">
        <v>9</v>
      </c>
      <c r="E101" t="s">
        <v>8</v>
      </c>
      <c r="F101" t="s">
        <v>4</v>
      </c>
      <c r="G101" t="s">
        <v>7</v>
      </c>
      <c r="H101">
        <v>80498</v>
      </c>
      <c r="I101">
        <v>632553</v>
      </c>
    </row>
    <row r="102" spans="2:9" x14ac:dyDescent="0.25">
      <c r="B102" t="s">
        <v>3</v>
      </c>
      <c r="C102" s="2">
        <v>0.25</v>
      </c>
      <c r="D102" t="s">
        <v>9</v>
      </c>
      <c r="E102" t="s">
        <v>8</v>
      </c>
      <c r="F102" t="s">
        <v>4</v>
      </c>
      <c r="G102" t="s">
        <v>7</v>
      </c>
      <c r="H102">
        <v>80972</v>
      </c>
      <c r="I102">
        <v>630972</v>
      </c>
    </row>
    <row r="103" spans="2:9" x14ac:dyDescent="0.25">
      <c r="B103" t="s">
        <v>3</v>
      </c>
      <c r="C103" s="2">
        <v>0.29166666666666669</v>
      </c>
      <c r="D103" t="s">
        <v>9</v>
      </c>
      <c r="E103" t="s">
        <v>8</v>
      </c>
      <c r="F103" t="s">
        <v>4</v>
      </c>
      <c r="G103" t="s">
        <v>7</v>
      </c>
      <c r="H103">
        <v>73698</v>
      </c>
      <c r="I103">
        <v>636406</v>
      </c>
    </row>
    <row r="105" spans="2:9" x14ac:dyDescent="0.25">
      <c r="B105" t="s">
        <v>3</v>
      </c>
      <c r="C105" s="2">
        <v>0</v>
      </c>
      <c r="D105" t="s">
        <v>9</v>
      </c>
      <c r="E105" t="s">
        <v>8</v>
      </c>
      <c r="F105" t="s">
        <v>4</v>
      </c>
      <c r="G105" t="s">
        <v>7</v>
      </c>
      <c r="H105">
        <v>82770</v>
      </c>
      <c r="I105">
        <v>644424</v>
      </c>
    </row>
    <row r="106" spans="2:9" x14ac:dyDescent="0.25">
      <c r="B106" t="s">
        <v>3</v>
      </c>
      <c r="C106" s="2">
        <v>4.1666666666666664E-2</v>
      </c>
      <c r="D106" t="s">
        <v>9</v>
      </c>
      <c r="E106" t="s">
        <v>8</v>
      </c>
      <c r="F106" t="s">
        <v>4</v>
      </c>
      <c r="G106" t="s">
        <v>7</v>
      </c>
      <c r="H106">
        <v>81676</v>
      </c>
      <c r="I106">
        <v>617840</v>
      </c>
    </row>
    <row r="107" spans="2:9" x14ac:dyDescent="0.25">
      <c r="B107" t="s">
        <v>3</v>
      </c>
      <c r="C107" s="2">
        <v>8.3333333333333329E-2</v>
      </c>
      <c r="D107" t="s">
        <v>9</v>
      </c>
      <c r="E107" t="s">
        <v>8</v>
      </c>
      <c r="F107" t="s">
        <v>4</v>
      </c>
      <c r="G107" t="s">
        <v>7</v>
      </c>
      <c r="H107">
        <v>82620</v>
      </c>
      <c r="I107">
        <v>632253</v>
      </c>
    </row>
    <row r="108" spans="2:9" x14ac:dyDescent="0.25">
      <c r="B108" t="s">
        <v>3</v>
      </c>
      <c r="C108" s="2">
        <v>0.16666666666666666</v>
      </c>
      <c r="D108" t="s">
        <v>9</v>
      </c>
      <c r="E108" t="s">
        <v>8</v>
      </c>
      <c r="F108" t="s">
        <v>4</v>
      </c>
      <c r="G108" t="s">
        <v>7</v>
      </c>
      <c r="H108">
        <v>83594</v>
      </c>
      <c r="I108">
        <v>664272</v>
      </c>
    </row>
    <row r="109" spans="2:9" x14ac:dyDescent="0.25">
      <c r="B109" t="s">
        <v>3</v>
      </c>
      <c r="C109" s="2">
        <v>0.125</v>
      </c>
      <c r="D109" t="s">
        <v>9</v>
      </c>
      <c r="E109" t="s">
        <v>8</v>
      </c>
      <c r="F109" t="s">
        <v>4</v>
      </c>
      <c r="G109" t="s">
        <v>7</v>
      </c>
      <c r="H109">
        <v>78237</v>
      </c>
      <c r="I109">
        <v>659168</v>
      </c>
    </row>
    <row r="110" spans="2:9" x14ac:dyDescent="0.25">
      <c r="B110" t="s">
        <v>3</v>
      </c>
      <c r="C110" s="2">
        <v>0.20833333333333334</v>
      </c>
      <c r="D110" t="s">
        <v>9</v>
      </c>
      <c r="E110" t="s">
        <v>8</v>
      </c>
      <c r="F110" t="s">
        <v>4</v>
      </c>
      <c r="G110" t="s">
        <v>7</v>
      </c>
      <c r="H110">
        <v>81202</v>
      </c>
      <c r="I110">
        <v>636396</v>
      </c>
    </row>
    <row r="111" spans="2:9" x14ac:dyDescent="0.25">
      <c r="B111" t="s">
        <v>3</v>
      </c>
      <c r="C111" s="2">
        <v>0.25</v>
      </c>
      <c r="D111" t="s">
        <v>9</v>
      </c>
      <c r="E111" t="s">
        <v>8</v>
      </c>
      <c r="F111" t="s">
        <v>4</v>
      </c>
      <c r="G111" t="s">
        <v>7</v>
      </c>
      <c r="H111">
        <v>81614</v>
      </c>
      <c r="I111">
        <v>649849</v>
      </c>
    </row>
    <row r="112" spans="2:9" x14ac:dyDescent="0.25">
      <c r="B112" t="s">
        <v>3</v>
      </c>
      <c r="C112" s="2">
        <v>0.29166666666666669</v>
      </c>
      <c r="D112" t="s">
        <v>9</v>
      </c>
      <c r="E112" t="s">
        <v>8</v>
      </c>
      <c r="F112" t="s">
        <v>4</v>
      </c>
      <c r="G112" t="s">
        <v>7</v>
      </c>
      <c r="H112">
        <v>73217</v>
      </c>
      <c r="I112">
        <v>639609</v>
      </c>
    </row>
    <row r="114" spans="1:9" x14ac:dyDescent="0.25">
      <c r="A114" t="s">
        <v>18</v>
      </c>
      <c r="B114" t="s">
        <v>22</v>
      </c>
      <c r="C114" t="s">
        <v>12</v>
      </c>
      <c r="D114" t="s">
        <v>11</v>
      </c>
      <c r="E114" t="s">
        <v>10</v>
      </c>
    </row>
    <row r="115" spans="1:9" x14ac:dyDescent="0.25">
      <c r="B115" t="s">
        <v>3</v>
      </c>
      <c r="C115" s="2">
        <v>0</v>
      </c>
      <c r="D115" t="s">
        <v>9</v>
      </c>
      <c r="E115" t="s">
        <v>8</v>
      </c>
      <c r="F115" t="s">
        <v>4</v>
      </c>
      <c r="G115" t="s">
        <v>7</v>
      </c>
      <c r="H115">
        <v>72210</v>
      </c>
      <c r="I115">
        <v>565913</v>
      </c>
    </row>
    <row r="116" spans="1:9" x14ac:dyDescent="0.25">
      <c r="B116" t="s">
        <v>3</v>
      </c>
      <c r="C116" s="2">
        <v>4.1666666666666664E-2</v>
      </c>
      <c r="D116" t="s">
        <v>9</v>
      </c>
      <c r="E116" t="s">
        <v>8</v>
      </c>
      <c r="F116" t="s">
        <v>4</v>
      </c>
      <c r="G116" t="s">
        <v>7</v>
      </c>
      <c r="H116">
        <v>70565</v>
      </c>
      <c r="I116">
        <v>553420</v>
      </c>
    </row>
    <row r="117" spans="1:9" x14ac:dyDescent="0.25">
      <c r="B117" t="s">
        <v>3</v>
      </c>
      <c r="C117" s="2">
        <v>8.3333333333333329E-2</v>
      </c>
      <c r="D117" t="s">
        <v>9</v>
      </c>
      <c r="E117" t="s">
        <v>8</v>
      </c>
      <c r="F117" t="s">
        <v>4</v>
      </c>
      <c r="G117" t="s">
        <v>7</v>
      </c>
      <c r="H117">
        <v>71941</v>
      </c>
      <c r="I117">
        <v>567833</v>
      </c>
    </row>
    <row r="118" spans="1:9" x14ac:dyDescent="0.25">
      <c r="B118" t="s">
        <v>3</v>
      </c>
      <c r="C118" s="2">
        <v>0.125</v>
      </c>
      <c r="D118" t="s">
        <v>9</v>
      </c>
      <c r="E118" t="s">
        <v>8</v>
      </c>
      <c r="F118" t="s">
        <v>4</v>
      </c>
      <c r="G118" t="s">
        <v>7</v>
      </c>
      <c r="H118">
        <v>64130</v>
      </c>
      <c r="I118">
        <v>564322</v>
      </c>
    </row>
    <row r="119" spans="1:9" x14ac:dyDescent="0.25">
      <c r="B119" t="s">
        <v>3</v>
      </c>
      <c r="C119" s="2">
        <v>0.16666666666666666</v>
      </c>
      <c r="D119" t="s">
        <v>9</v>
      </c>
      <c r="E119" t="s">
        <v>8</v>
      </c>
      <c r="F119" t="s">
        <v>4</v>
      </c>
      <c r="G119" t="s">
        <v>7</v>
      </c>
      <c r="H119">
        <v>72090</v>
      </c>
      <c r="I119">
        <v>569744</v>
      </c>
    </row>
    <row r="120" spans="1:9" x14ac:dyDescent="0.25">
      <c r="B120" t="s">
        <v>3</v>
      </c>
      <c r="C120" s="2">
        <v>0.20833333333333334</v>
      </c>
      <c r="D120" t="s">
        <v>9</v>
      </c>
      <c r="E120" t="s">
        <v>8</v>
      </c>
      <c r="F120" t="s">
        <v>4</v>
      </c>
      <c r="G120" t="s">
        <v>7</v>
      </c>
      <c r="H120">
        <v>70361</v>
      </c>
      <c r="I120">
        <v>551788</v>
      </c>
    </row>
    <row r="121" spans="1:9" x14ac:dyDescent="0.25">
      <c r="B121" t="s">
        <v>3</v>
      </c>
      <c r="C121" s="2">
        <v>0.25</v>
      </c>
      <c r="D121" t="s">
        <v>9</v>
      </c>
      <c r="E121" t="s">
        <v>8</v>
      </c>
      <c r="F121" t="s">
        <v>4</v>
      </c>
      <c r="G121" t="s">
        <v>7</v>
      </c>
      <c r="H121">
        <v>70122</v>
      </c>
      <c r="I121">
        <v>562701</v>
      </c>
    </row>
    <row r="122" spans="1:9" x14ac:dyDescent="0.25">
      <c r="B122" t="s">
        <v>3</v>
      </c>
      <c r="C122" s="2">
        <v>0.29166666666666669</v>
      </c>
      <c r="D122" t="s">
        <v>9</v>
      </c>
      <c r="E122" t="s">
        <v>8</v>
      </c>
      <c r="F122" t="s">
        <v>4</v>
      </c>
      <c r="G122" t="s">
        <v>7</v>
      </c>
      <c r="H122">
        <v>61126</v>
      </c>
      <c r="I122">
        <v>557560</v>
      </c>
    </row>
    <row r="124" spans="1:9" x14ac:dyDescent="0.25">
      <c r="B124" t="s">
        <v>3</v>
      </c>
      <c r="C124" s="2">
        <v>0</v>
      </c>
      <c r="D124" t="s">
        <v>9</v>
      </c>
      <c r="E124" t="s">
        <v>8</v>
      </c>
      <c r="F124" t="s">
        <v>4</v>
      </c>
      <c r="G124" t="s">
        <v>7</v>
      </c>
      <c r="H124">
        <v>71086</v>
      </c>
      <c r="I124">
        <v>571354</v>
      </c>
    </row>
    <row r="125" spans="1:9" x14ac:dyDescent="0.25">
      <c r="B125" t="s">
        <v>3</v>
      </c>
      <c r="C125" s="2">
        <v>4.1666666666666664E-2</v>
      </c>
      <c r="D125" t="s">
        <v>9</v>
      </c>
      <c r="E125" t="s">
        <v>8</v>
      </c>
      <c r="F125" t="s">
        <v>4</v>
      </c>
      <c r="G125" t="s">
        <v>7</v>
      </c>
      <c r="H125">
        <v>69520</v>
      </c>
      <c r="I125">
        <v>552458</v>
      </c>
    </row>
    <row r="126" spans="1:9" x14ac:dyDescent="0.25">
      <c r="B126" t="s">
        <v>3</v>
      </c>
      <c r="C126" s="2">
        <v>8.3333333333333329E-2</v>
      </c>
      <c r="D126" t="s">
        <v>9</v>
      </c>
      <c r="E126" t="s">
        <v>8</v>
      </c>
      <c r="F126" t="s">
        <v>4</v>
      </c>
      <c r="G126" t="s">
        <v>7</v>
      </c>
      <c r="H126">
        <v>71458</v>
      </c>
      <c r="I126">
        <v>568153</v>
      </c>
    </row>
    <row r="127" spans="1:9" x14ac:dyDescent="0.25">
      <c r="B127" t="s">
        <v>3</v>
      </c>
      <c r="C127" s="2">
        <v>0.125</v>
      </c>
      <c r="D127" t="s">
        <v>9</v>
      </c>
      <c r="E127" t="s">
        <v>8</v>
      </c>
      <c r="F127" t="s">
        <v>4</v>
      </c>
      <c r="G127" t="s">
        <v>7</v>
      </c>
      <c r="H127">
        <v>64361</v>
      </c>
      <c r="I127">
        <v>565293</v>
      </c>
    </row>
    <row r="128" spans="1:9" x14ac:dyDescent="0.25">
      <c r="B128" t="s">
        <v>3</v>
      </c>
      <c r="C128" s="2">
        <v>0.16666666666666666</v>
      </c>
      <c r="D128" t="s">
        <v>9</v>
      </c>
      <c r="E128" t="s">
        <v>8</v>
      </c>
      <c r="F128" t="s">
        <v>4</v>
      </c>
      <c r="G128" t="s">
        <v>7</v>
      </c>
      <c r="H128">
        <v>70806</v>
      </c>
      <c r="I128">
        <v>571984</v>
      </c>
    </row>
    <row r="129" spans="1:9" x14ac:dyDescent="0.25">
      <c r="B129" t="s">
        <v>3</v>
      </c>
      <c r="C129" s="2">
        <v>0.20833333333333334</v>
      </c>
      <c r="D129" t="s">
        <v>9</v>
      </c>
      <c r="E129" t="s">
        <v>8</v>
      </c>
      <c r="F129" t="s">
        <v>4</v>
      </c>
      <c r="G129" t="s">
        <v>7</v>
      </c>
      <c r="H129">
        <v>68897</v>
      </c>
      <c r="I129">
        <v>554989</v>
      </c>
    </row>
    <row r="130" spans="1:9" x14ac:dyDescent="0.25">
      <c r="B130" t="s">
        <v>3</v>
      </c>
      <c r="C130" s="2">
        <v>0.25</v>
      </c>
      <c r="D130" t="s">
        <v>9</v>
      </c>
      <c r="E130" t="s">
        <v>8</v>
      </c>
      <c r="F130" t="s">
        <v>4</v>
      </c>
      <c r="G130" t="s">
        <v>7</v>
      </c>
      <c r="H130">
        <v>70233</v>
      </c>
      <c r="I130">
        <v>564622</v>
      </c>
    </row>
    <row r="131" spans="1:9" x14ac:dyDescent="0.25">
      <c r="B131" t="s">
        <v>3</v>
      </c>
      <c r="C131" s="2">
        <v>0.29166666666666669</v>
      </c>
      <c r="D131" t="s">
        <v>9</v>
      </c>
      <c r="E131" t="s">
        <v>8</v>
      </c>
      <c r="F131" t="s">
        <v>4</v>
      </c>
      <c r="G131" t="s">
        <v>7</v>
      </c>
      <c r="H131">
        <v>61126</v>
      </c>
      <c r="I131">
        <v>557240</v>
      </c>
    </row>
    <row r="133" spans="1:9" x14ac:dyDescent="0.25">
      <c r="A133" t="s">
        <v>18</v>
      </c>
      <c r="B133" t="s">
        <v>21</v>
      </c>
      <c r="C133" t="s">
        <v>12</v>
      </c>
      <c r="D133" t="s">
        <v>11</v>
      </c>
      <c r="E133" t="s">
        <v>10</v>
      </c>
    </row>
    <row r="134" spans="1:9" x14ac:dyDescent="0.25">
      <c r="B134" t="s">
        <v>3</v>
      </c>
      <c r="C134" s="2">
        <v>0</v>
      </c>
      <c r="D134" t="s">
        <v>9</v>
      </c>
      <c r="E134" t="s">
        <v>8</v>
      </c>
      <c r="F134" t="s">
        <v>4</v>
      </c>
      <c r="G134" t="s">
        <v>7</v>
      </c>
      <c r="H134">
        <v>55206</v>
      </c>
      <c r="I134">
        <v>470054</v>
      </c>
    </row>
    <row r="135" spans="1:9" x14ac:dyDescent="0.25">
      <c r="B135" t="s">
        <v>3</v>
      </c>
      <c r="C135" s="2">
        <v>4.1666666666666664E-2</v>
      </c>
      <c r="D135" t="s">
        <v>9</v>
      </c>
      <c r="E135" t="s">
        <v>8</v>
      </c>
      <c r="F135" t="s">
        <v>4</v>
      </c>
      <c r="G135" t="s">
        <v>7</v>
      </c>
      <c r="H135">
        <v>53590</v>
      </c>
      <c r="I135">
        <v>451828</v>
      </c>
    </row>
    <row r="136" spans="1:9" x14ac:dyDescent="0.25">
      <c r="B136" t="s">
        <v>3</v>
      </c>
      <c r="C136" s="2">
        <v>8.3333333333333329E-2</v>
      </c>
      <c r="D136" t="s">
        <v>9</v>
      </c>
      <c r="E136" t="s">
        <v>8</v>
      </c>
      <c r="F136" t="s">
        <v>4</v>
      </c>
      <c r="G136" t="s">
        <v>7</v>
      </c>
      <c r="H136">
        <v>56890</v>
      </c>
      <c r="I136">
        <v>465908</v>
      </c>
    </row>
    <row r="137" spans="1:9" x14ac:dyDescent="0.25">
      <c r="B137" t="s">
        <v>3</v>
      </c>
      <c r="C137" s="2">
        <v>0.125</v>
      </c>
      <c r="D137" t="s">
        <v>9</v>
      </c>
      <c r="E137" t="s">
        <v>8</v>
      </c>
      <c r="F137" t="s">
        <v>4</v>
      </c>
      <c r="G137" t="s">
        <v>7</v>
      </c>
      <c r="H137">
        <v>50481</v>
      </c>
      <c r="I137">
        <v>459204</v>
      </c>
    </row>
    <row r="138" spans="1:9" x14ac:dyDescent="0.25">
      <c r="B138" t="s">
        <v>3</v>
      </c>
      <c r="C138" s="2">
        <v>0.16666666666666666</v>
      </c>
      <c r="D138" t="s">
        <v>9</v>
      </c>
      <c r="E138" t="s">
        <v>8</v>
      </c>
      <c r="F138" t="s">
        <v>4</v>
      </c>
      <c r="G138" t="s">
        <v>7</v>
      </c>
      <c r="H138">
        <v>55477</v>
      </c>
      <c r="I138">
        <v>468136</v>
      </c>
    </row>
    <row r="139" spans="1:9" x14ac:dyDescent="0.25">
      <c r="B139" t="s">
        <v>3</v>
      </c>
      <c r="C139" s="2">
        <v>0.20833333333333334</v>
      </c>
      <c r="D139" t="s">
        <v>9</v>
      </c>
      <c r="E139" t="s">
        <v>8</v>
      </c>
      <c r="F139" t="s">
        <v>4</v>
      </c>
      <c r="G139" t="s">
        <v>7</v>
      </c>
      <c r="H139">
        <v>54180</v>
      </c>
      <c r="I139">
        <v>457244</v>
      </c>
    </row>
    <row r="140" spans="1:9" x14ac:dyDescent="0.25">
      <c r="B140" t="s">
        <v>3</v>
      </c>
      <c r="C140" s="2">
        <v>0.25</v>
      </c>
      <c r="D140" t="s">
        <v>9</v>
      </c>
      <c r="E140" t="s">
        <v>8</v>
      </c>
      <c r="F140" t="s">
        <v>4</v>
      </c>
      <c r="G140" t="s">
        <v>7</v>
      </c>
      <c r="H140">
        <v>55776</v>
      </c>
      <c r="I140">
        <v>475161</v>
      </c>
    </row>
    <row r="141" spans="1:9" x14ac:dyDescent="0.25">
      <c r="B141" t="s">
        <v>3</v>
      </c>
      <c r="C141" s="2">
        <v>0.29166666666666669</v>
      </c>
      <c r="D141" t="s">
        <v>9</v>
      </c>
      <c r="E141" t="s">
        <v>8</v>
      </c>
      <c r="F141" t="s">
        <v>4</v>
      </c>
      <c r="G141" t="s">
        <v>7</v>
      </c>
      <c r="H141">
        <v>48424</v>
      </c>
      <c r="I141">
        <v>469405</v>
      </c>
    </row>
    <row r="143" spans="1:9" x14ac:dyDescent="0.25">
      <c r="B143" t="s">
        <v>3</v>
      </c>
      <c r="C143" s="2">
        <v>0</v>
      </c>
      <c r="D143" t="s">
        <v>9</v>
      </c>
      <c r="E143" t="s">
        <v>8</v>
      </c>
      <c r="F143" t="s">
        <v>4</v>
      </c>
      <c r="G143" t="s">
        <v>7</v>
      </c>
      <c r="H143">
        <v>55246</v>
      </c>
      <c r="I143">
        <v>467826</v>
      </c>
    </row>
    <row r="144" spans="1:9" x14ac:dyDescent="0.25">
      <c r="B144" t="s">
        <v>3</v>
      </c>
      <c r="C144" s="2">
        <v>4.1666666666666664E-2</v>
      </c>
      <c r="D144" t="s">
        <v>9</v>
      </c>
      <c r="E144" t="s">
        <v>8</v>
      </c>
      <c r="F144" t="s">
        <v>4</v>
      </c>
      <c r="G144" t="s">
        <v>7</v>
      </c>
      <c r="H144">
        <v>53712</v>
      </c>
      <c r="I144">
        <v>453096</v>
      </c>
    </row>
    <row r="145" spans="1:9" x14ac:dyDescent="0.25">
      <c r="B145" t="s">
        <v>3</v>
      </c>
      <c r="C145" s="2">
        <v>8.3333333333333329E-2</v>
      </c>
      <c r="D145" t="s">
        <v>9</v>
      </c>
      <c r="E145" t="s">
        <v>8</v>
      </c>
      <c r="F145" t="s">
        <v>4</v>
      </c>
      <c r="G145" t="s">
        <v>7</v>
      </c>
      <c r="H145">
        <v>55006</v>
      </c>
      <c r="I145">
        <v>467817</v>
      </c>
    </row>
    <row r="146" spans="1:9" x14ac:dyDescent="0.25">
      <c r="B146" t="s">
        <v>3</v>
      </c>
      <c r="C146" s="2">
        <v>0.125</v>
      </c>
      <c r="D146" t="s">
        <v>9</v>
      </c>
      <c r="E146" t="s">
        <v>8</v>
      </c>
      <c r="F146" t="s">
        <v>4</v>
      </c>
      <c r="G146" t="s">
        <v>7</v>
      </c>
      <c r="H146">
        <v>50401</v>
      </c>
      <c r="I146">
        <v>458244</v>
      </c>
    </row>
    <row r="147" spans="1:9" x14ac:dyDescent="0.25">
      <c r="B147" t="s">
        <v>3</v>
      </c>
      <c r="C147" s="2">
        <v>0.16666666666666666</v>
      </c>
      <c r="D147" t="s">
        <v>9</v>
      </c>
      <c r="E147" t="s">
        <v>8</v>
      </c>
      <c r="F147" t="s">
        <v>4</v>
      </c>
      <c r="G147" t="s">
        <v>7</v>
      </c>
      <c r="H147">
        <v>55286</v>
      </c>
      <c r="I147">
        <v>464938</v>
      </c>
    </row>
    <row r="148" spans="1:9" x14ac:dyDescent="0.25">
      <c r="B148" t="s">
        <v>3</v>
      </c>
      <c r="C148" s="2">
        <v>0.20833333333333334</v>
      </c>
      <c r="D148" t="s">
        <v>9</v>
      </c>
      <c r="E148" t="s">
        <v>8</v>
      </c>
      <c r="F148" t="s">
        <v>4</v>
      </c>
      <c r="G148" t="s">
        <v>7</v>
      </c>
      <c r="H148">
        <v>53089</v>
      </c>
      <c r="I148">
        <v>457882</v>
      </c>
    </row>
    <row r="149" spans="1:9" x14ac:dyDescent="0.25">
      <c r="B149" t="s">
        <v>3</v>
      </c>
      <c r="C149" s="2">
        <v>0.25</v>
      </c>
      <c r="D149" t="s">
        <v>9</v>
      </c>
      <c r="E149" t="s">
        <v>8</v>
      </c>
      <c r="F149" t="s">
        <v>4</v>
      </c>
      <c r="G149" t="s">
        <v>7</v>
      </c>
      <c r="H149">
        <v>54554</v>
      </c>
      <c r="I149">
        <v>473882</v>
      </c>
    </row>
    <row r="150" spans="1:9" x14ac:dyDescent="0.25">
      <c r="B150" t="s">
        <v>3</v>
      </c>
      <c r="C150" s="2">
        <v>0.29166666666666669</v>
      </c>
      <c r="D150" t="s">
        <v>9</v>
      </c>
      <c r="E150" t="s">
        <v>8</v>
      </c>
      <c r="F150" t="s">
        <v>4</v>
      </c>
      <c r="G150" t="s">
        <v>7</v>
      </c>
      <c r="H150">
        <v>48144</v>
      </c>
      <c r="I150">
        <v>466526</v>
      </c>
    </row>
    <row r="152" spans="1:9" x14ac:dyDescent="0.25">
      <c r="A152" t="s">
        <v>18</v>
      </c>
      <c r="B152" t="s">
        <v>20</v>
      </c>
      <c r="C152" t="s">
        <v>12</v>
      </c>
      <c r="D152" t="s">
        <v>11</v>
      </c>
      <c r="E152" t="s">
        <v>10</v>
      </c>
    </row>
    <row r="153" spans="1:9" x14ac:dyDescent="0.25">
      <c r="B153" t="s">
        <v>3</v>
      </c>
      <c r="C153" s="2">
        <v>0</v>
      </c>
      <c r="D153" t="s">
        <v>9</v>
      </c>
      <c r="E153" t="s">
        <v>8</v>
      </c>
      <c r="F153" t="s">
        <v>4</v>
      </c>
      <c r="G153" t="s">
        <v>7</v>
      </c>
      <c r="H153">
        <v>43454</v>
      </c>
      <c r="I153">
        <v>395296</v>
      </c>
    </row>
    <row r="154" spans="1:9" x14ac:dyDescent="0.25">
      <c r="B154" t="s">
        <v>3</v>
      </c>
      <c r="C154" s="2">
        <v>4.1666666666666664E-2</v>
      </c>
      <c r="D154" t="s">
        <v>9</v>
      </c>
      <c r="E154" t="s">
        <v>8</v>
      </c>
      <c r="F154" t="s">
        <v>4</v>
      </c>
      <c r="G154" t="s">
        <v>7</v>
      </c>
      <c r="H154">
        <v>43054</v>
      </c>
      <c r="I154">
        <v>388580</v>
      </c>
    </row>
    <row r="155" spans="1:9" x14ac:dyDescent="0.25">
      <c r="B155" t="s">
        <v>3</v>
      </c>
      <c r="C155" s="2">
        <v>8.3333333333333329E-2</v>
      </c>
      <c r="D155" t="s">
        <v>9</v>
      </c>
      <c r="E155" t="s">
        <v>8</v>
      </c>
      <c r="F155" t="s">
        <v>4</v>
      </c>
      <c r="G155" t="s">
        <v>7</v>
      </c>
      <c r="H155">
        <v>44176</v>
      </c>
      <c r="I155">
        <v>391773</v>
      </c>
    </row>
    <row r="156" spans="1:9" x14ac:dyDescent="0.25">
      <c r="B156" t="s">
        <v>3</v>
      </c>
      <c r="C156" s="2">
        <v>0.125</v>
      </c>
      <c r="D156" t="s">
        <v>9</v>
      </c>
      <c r="E156" t="s">
        <v>8</v>
      </c>
      <c r="F156" t="s">
        <v>4</v>
      </c>
      <c r="G156" t="s">
        <v>7</v>
      </c>
      <c r="H156">
        <v>40550</v>
      </c>
      <c r="I156">
        <v>378062</v>
      </c>
    </row>
    <row r="157" spans="1:9" x14ac:dyDescent="0.25">
      <c r="B157" t="s">
        <v>3</v>
      </c>
      <c r="C157" s="2">
        <v>0.16666666666666666</v>
      </c>
      <c r="D157" t="s">
        <v>9</v>
      </c>
      <c r="E157" t="s">
        <v>8</v>
      </c>
      <c r="F157" t="s">
        <v>4</v>
      </c>
      <c r="G157" t="s">
        <v>7</v>
      </c>
      <c r="H157">
        <v>42804</v>
      </c>
      <c r="I157">
        <v>383152</v>
      </c>
    </row>
    <row r="158" spans="1:9" x14ac:dyDescent="0.25">
      <c r="B158" t="s">
        <v>3</v>
      </c>
      <c r="C158" s="2">
        <v>0.20833333333333334</v>
      </c>
      <c r="D158" t="s">
        <v>9</v>
      </c>
      <c r="E158" t="s">
        <v>8</v>
      </c>
      <c r="F158" t="s">
        <v>4</v>
      </c>
      <c r="G158" t="s">
        <v>7</v>
      </c>
      <c r="H158">
        <v>42652</v>
      </c>
      <c r="I158">
        <v>378032</v>
      </c>
    </row>
    <row r="159" spans="1:9" x14ac:dyDescent="0.25">
      <c r="B159" t="s">
        <v>3</v>
      </c>
      <c r="C159" s="2">
        <v>0.25</v>
      </c>
      <c r="D159" t="s">
        <v>9</v>
      </c>
      <c r="E159" t="s">
        <v>8</v>
      </c>
      <c r="F159" t="s">
        <v>4</v>
      </c>
      <c r="G159" t="s">
        <v>7</v>
      </c>
      <c r="H159">
        <v>43104</v>
      </c>
      <c r="I159">
        <v>391453</v>
      </c>
    </row>
    <row r="160" spans="1:9" x14ac:dyDescent="0.25">
      <c r="B160" t="s">
        <v>3</v>
      </c>
      <c r="C160" s="2">
        <v>0.29166666666666669</v>
      </c>
      <c r="D160" t="s">
        <v>9</v>
      </c>
      <c r="E160" t="s">
        <v>8</v>
      </c>
      <c r="F160" t="s">
        <v>4</v>
      </c>
      <c r="G160" t="s">
        <v>7</v>
      </c>
      <c r="H160">
        <v>38876</v>
      </c>
      <c r="I160">
        <v>388580</v>
      </c>
    </row>
    <row r="162" spans="1:9" x14ac:dyDescent="0.25">
      <c r="B162" t="s">
        <v>3</v>
      </c>
      <c r="C162" s="2">
        <v>0</v>
      </c>
      <c r="D162" t="s">
        <v>9</v>
      </c>
      <c r="E162" t="s">
        <v>8</v>
      </c>
      <c r="F162" t="s">
        <v>4</v>
      </c>
      <c r="G162" t="s">
        <v>7</v>
      </c>
      <c r="H162">
        <v>42773</v>
      </c>
      <c r="I162">
        <v>394977</v>
      </c>
    </row>
    <row r="163" spans="1:9" x14ac:dyDescent="0.25">
      <c r="B163" t="s">
        <v>3</v>
      </c>
      <c r="C163" s="2">
        <v>4.1666666666666664E-2</v>
      </c>
      <c r="D163" t="s">
        <v>9</v>
      </c>
      <c r="E163" t="s">
        <v>8</v>
      </c>
      <c r="F163" t="s">
        <v>4</v>
      </c>
      <c r="G163" t="s">
        <v>7</v>
      </c>
      <c r="H163">
        <v>42624</v>
      </c>
      <c r="I163">
        <v>388590</v>
      </c>
    </row>
    <row r="164" spans="1:9" x14ac:dyDescent="0.25">
      <c r="B164" t="s">
        <v>3</v>
      </c>
      <c r="C164" s="2">
        <v>8.3333333333333329E-2</v>
      </c>
      <c r="D164" t="s">
        <v>9</v>
      </c>
      <c r="E164" t="s">
        <v>8</v>
      </c>
      <c r="F164" t="s">
        <v>4</v>
      </c>
      <c r="G164" t="s">
        <v>7</v>
      </c>
      <c r="H164">
        <v>43585</v>
      </c>
      <c r="I164">
        <v>392092</v>
      </c>
    </row>
    <row r="165" spans="1:9" x14ac:dyDescent="0.25">
      <c r="B165" t="s">
        <v>3</v>
      </c>
      <c r="C165" s="2">
        <v>0.125</v>
      </c>
      <c r="D165" t="s">
        <v>9</v>
      </c>
      <c r="E165" t="s">
        <v>8</v>
      </c>
      <c r="F165" t="s">
        <v>4</v>
      </c>
      <c r="G165" t="s">
        <v>7</v>
      </c>
      <c r="H165">
        <v>40229</v>
      </c>
      <c r="I165">
        <v>381576</v>
      </c>
    </row>
    <row r="166" spans="1:9" x14ac:dyDescent="0.25">
      <c r="B166" t="s">
        <v>3</v>
      </c>
      <c r="C166" s="2">
        <v>0.16666666666666666</v>
      </c>
      <c r="D166" t="s">
        <v>9</v>
      </c>
      <c r="E166" t="s">
        <v>8</v>
      </c>
      <c r="F166" t="s">
        <v>4</v>
      </c>
      <c r="G166" t="s">
        <v>7</v>
      </c>
      <c r="H166">
        <v>42814</v>
      </c>
      <c r="I166">
        <v>382193</v>
      </c>
    </row>
    <row r="167" spans="1:9" x14ac:dyDescent="0.25">
      <c r="B167" t="s">
        <v>3</v>
      </c>
      <c r="C167" s="2">
        <v>0.20833333333333334</v>
      </c>
      <c r="D167" t="s">
        <v>9</v>
      </c>
      <c r="E167" t="s">
        <v>8</v>
      </c>
      <c r="F167" t="s">
        <v>4</v>
      </c>
      <c r="G167" t="s">
        <v>7</v>
      </c>
      <c r="H167">
        <v>42112</v>
      </c>
      <c r="I167">
        <v>378350</v>
      </c>
    </row>
    <row r="168" spans="1:9" x14ac:dyDescent="0.25">
      <c r="B168" t="s">
        <v>3</v>
      </c>
      <c r="C168" s="2">
        <v>0.25</v>
      </c>
      <c r="D168" t="s">
        <v>9</v>
      </c>
      <c r="E168" t="s">
        <v>8</v>
      </c>
      <c r="F168" t="s">
        <v>4</v>
      </c>
      <c r="G168" t="s">
        <v>7</v>
      </c>
      <c r="H168">
        <v>42442</v>
      </c>
      <c r="I168">
        <v>393050</v>
      </c>
    </row>
    <row r="169" spans="1:9" x14ac:dyDescent="0.25">
      <c r="B169" t="s">
        <v>3</v>
      </c>
      <c r="C169" s="2">
        <v>0.29166666666666669</v>
      </c>
      <c r="D169" t="s">
        <v>9</v>
      </c>
      <c r="E169" t="s">
        <v>8</v>
      </c>
      <c r="F169" t="s">
        <v>4</v>
      </c>
      <c r="G169" t="s">
        <v>7</v>
      </c>
      <c r="H169">
        <v>38916</v>
      </c>
      <c r="I169">
        <v>388250</v>
      </c>
    </row>
    <row r="171" spans="1:9" x14ac:dyDescent="0.25">
      <c r="A171" t="s">
        <v>18</v>
      </c>
      <c r="B171" t="s">
        <v>19</v>
      </c>
      <c r="C171" t="s">
        <v>12</v>
      </c>
      <c r="D171" t="s">
        <v>11</v>
      </c>
      <c r="E171" t="s">
        <v>10</v>
      </c>
    </row>
    <row r="172" spans="1:9" x14ac:dyDescent="0.25">
      <c r="B172" t="s">
        <v>3</v>
      </c>
      <c r="C172" s="2">
        <v>0</v>
      </c>
      <c r="D172" t="s">
        <v>9</v>
      </c>
      <c r="E172" t="s">
        <v>8</v>
      </c>
      <c r="F172" t="s">
        <v>4</v>
      </c>
      <c r="G172" t="s">
        <v>7</v>
      </c>
      <c r="H172">
        <v>34114</v>
      </c>
      <c r="I172">
        <v>325353</v>
      </c>
    </row>
    <row r="173" spans="1:9" x14ac:dyDescent="0.25">
      <c r="B173" t="s">
        <v>3</v>
      </c>
      <c r="C173" s="2">
        <v>4.1666666666666664E-2</v>
      </c>
      <c r="D173" t="s">
        <v>9</v>
      </c>
      <c r="E173" t="s">
        <v>8</v>
      </c>
      <c r="F173" t="s">
        <v>4</v>
      </c>
      <c r="G173" t="s">
        <v>7</v>
      </c>
      <c r="H173">
        <v>33945</v>
      </c>
      <c r="I173">
        <v>318318</v>
      </c>
    </row>
    <row r="174" spans="1:9" x14ac:dyDescent="0.25">
      <c r="B174" t="s">
        <v>3</v>
      </c>
      <c r="C174" s="2">
        <v>8.3333333333333329E-2</v>
      </c>
      <c r="D174" t="s">
        <v>9</v>
      </c>
      <c r="E174" t="s">
        <v>8</v>
      </c>
      <c r="F174" t="s">
        <v>4</v>
      </c>
      <c r="G174" t="s">
        <v>7</v>
      </c>
      <c r="H174">
        <v>33874</v>
      </c>
      <c r="I174">
        <v>319925</v>
      </c>
    </row>
    <row r="175" spans="1:9" x14ac:dyDescent="0.25">
      <c r="B175" t="s">
        <v>3</v>
      </c>
      <c r="C175" s="2">
        <v>0.125</v>
      </c>
      <c r="D175" t="s">
        <v>9</v>
      </c>
      <c r="E175" t="s">
        <v>8</v>
      </c>
      <c r="F175" t="s">
        <v>4</v>
      </c>
      <c r="G175" t="s">
        <v>7</v>
      </c>
      <c r="H175">
        <v>31577</v>
      </c>
      <c r="I175">
        <v>304514</v>
      </c>
    </row>
    <row r="176" spans="1:9" x14ac:dyDescent="0.25">
      <c r="B176" t="s">
        <v>3</v>
      </c>
      <c r="C176" s="2">
        <v>0.16666666666666666</v>
      </c>
      <c r="D176" t="s">
        <v>9</v>
      </c>
      <c r="E176" t="s">
        <v>8</v>
      </c>
      <c r="F176" t="s">
        <v>4</v>
      </c>
      <c r="G176" t="s">
        <v>7</v>
      </c>
      <c r="H176">
        <v>34185</v>
      </c>
      <c r="I176">
        <v>320234</v>
      </c>
    </row>
    <row r="177" spans="1:9" x14ac:dyDescent="0.25">
      <c r="B177" t="s">
        <v>3</v>
      </c>
      <c r="C177" s="2">
        <v>0.20833333333333334</v>
      </c>
      <c r="D177" t="s">
        <v>9</v>
      </c>
      <c r="E177" t="s">
        <v>8</v>
      </c>
      <c r="F177" t="s">
        <v>4</v>
      </c>
      <c r="G177" t="s">
        <v>7</v>
      </c>
      <c r="H177">
        <v>34094</v>
      </c>
      <c r="I177">
        <v>316402</v>
      </c>
    </row>
    <row r="178" spans="1:9" x14ac:dyDescent="0.25">
      <c r="B178" t="s">
        <v>3</v>
      </c>
      <c r="C178" s="2">
        <v>0.25</v>
      </c>
      <c r="D178" t="s">
        <v>9</v>
      </c>
      <c r="E178" t="s">
        <v>8</v>
      </c>
      <c r="F178" t="s">
        <v>4</v>
      </c>
      <c r="G178" t="s">
        <v>7</v>
      </c>
      <c r="H178">
        <v>34494</v>
      </c>
      <c r="I178">
        <v>328537</v>
      </c>
    </row>
    <row r="179" spans="1:9" x14ac:dyDescent="0.25">
      <c r="B179" t="s">
        <v>3</v>
      </c>
      <c r="C179" s="2">
        <v>0.29166666666666669</v>
      </c>
      <c r="D179" t="s">
        <v>9</v>
      </c>
      <c r="E179" t="s">
        <v>8</v>
      </c>
      <c r="F179" t="s">
        <v>4</v>
      </c>
      <c r="G179" t="s">
        <v>7</v>
      </c>
      <c r="H179">
        <v>30318</v>
      </c>
      <c r="I179">
        <v>322469</v>
      </c>
    </row>
    <row r="181" spans="1:9" x14ac:dyDescent="0.25">
      <c r="B181" t="s">
        <v>3</v>
      </c>
      <c r="C181" s="2">
        <v>0</v>
      </c>
      <c r="D181" t="s">
        <v>9</v>
      </c>
      <c r="E181" t="s">
        <v>8</v>
      </c>
      <c r="F181" t="s">
        <v>4</v>
      </c>
      <c r="G181" t="s">
        <v>7</v>
      </c>
      <c r="H181">
        <v>34345</v>
      </c>
      <c r="I181">
        <v>325992</v>
      </c>
    </row>
    <row r="182" spans="1:9" x14ac:dyDescent="0.25">
      <c r="B182" t="s">
        <v>3</v>
      </c>
      <c r="C182" s="2">
        <v>4.1666666666666664E-2</v>
      </c>
      <c r="D182" t="s">
        <v>9</v>
      </c>
      <c r="E182" t="s">
        <v>8</v>
      </c>
      <c r="F182" t="s">
        <v>4</v>
      </c>
      <c r="G182" t="s">
        <v>7</v>
      </c>
      <c r="H182">
        <v>34145</v>
      </c>
      <c r="I182">
        <v>317998</v>
      </c>
    </row>
    <row r="183" spans="1:9" x14ac:dyDescent="0.25">
      <c r="B183" t="s">
        <v>3</v>
      </c>
      <c r="C183" s="2">
        <v>8.3333333333333329E-2</v>
      </c>
      <c r="D183" t="s">
        <v>9</v>
      </c>
      <c r="E183" t="s">
        <v>8</v>
      </c>
      <c r="F183" t="s">
        <v>4</v>
      </c>
      <c r="G183" t="s">
        <v>7</v>
      </c>
      <c r="H183">
        <v>34145</v>
      </c>
      <c r="I183">
        <v>319925</v>
      </c>
    </row>
    <row r="184" spans="1:9" x14ac:dyDescent="0.25">
      <c r="B184" t="s">
        <v>3</v>
      </c>
      <c r="C184" s="2">
        <v>0.125</v>
      </c>
      <c r="D184" t="s">
        <v>9</v>
      </c>
      <c r="E184" t="s">
        <v>8</v>
      </c>
      <c r="F184" t="s">
        <v>4</v>
      </c>
      <c r="G184" t="s">
        <v>7</v>
      </c>
      <c r="H184">
        <v>31697</v>
      </c>
      <c r="I184">
        <v>306205</v>
      </c>
    </row>
    <row r="185" spans="1:9" x14ac:dyDescent="0.25">
      <c r="B185" t="s">
        <v>3</v>
      </c>
      <c r="C185" s="2">
        <v>0.16666666666666666</v>
      </c>
      <c r="D185" t="s">
        <v>9</v>
      </c>
      <c r="E185" t="s">
        <v>8</v>
      </c>
      <c r="F185" t="s">
        <v>4</v>
      </c>
      <c r="G185" t="s">
        <v>7</v>
      </c>
      <c r="H185">
        <v>34534</v>
      </c>
      <c r="I185">
        <v>319596</v>
      </c>
    </row>
    <row r="186" spans="1:9" x14ac:dyDescent="0.25">
      <c r="B186" t="s">
        <v>3</v>
      </c>
      <c r="C186" s="2">
        <v>0.20833333333333334</v>
      </c>
      <c r="D186" t="s">
        <v>9</v>
      </c>
      <c r="E186" t="s">
        <v>8</v>
      </c>
      <c r="F186" t="s">
        <v>4</v>
      </c>
      <c r="G186" t="s">
        <v>7</v>
      </c>
      <c r="H186">
        <v>33654</v>
      </c>
      <c r="I186">
        <v>316721</v>
      </c>
    </row>
    <row r="187" spans="1:9" x14ac:dyDescent="0.25">
      <c r="B187" t="s">
        <v>3</v>
      </c>
      <c r="C187" s="2">
        <v>0.25</v>
      </c>
      <c r="D187" t="s">
        <v>9</v>
      </c>
      <c r="E187" t="s">
        <v>8</v>
      </c>
      <c r="F187" t="s">
        <v>4</v>
      </c>
      <c r="G187" t="s">
        <v>7</v>
      </c>
      <c r="H187">
        <v>34574</v>
      </c>
      <c r="I187">
        <v>327260</v>
      </c>
    </row>
    <row r="188" spans="1:9" x14ac:dyDescent="0.25">
      <c r="B188" t="s">
        <v>3</v>
      </c>
      <c r="C188" s="2">
        <v>0.29166666666666669</v>
      </c>
      <c r="D188" t="s">
        <v>9</v>
      </c>
      <c r="E188" t="s">
        <v>8</v>
      </c>
      <c r="F188" t="s">
        <v>4</v>
      </c>
      <c r="G188" t="s">
        <v>7</v>
      </c>
      <c r="H188">
        <v>30836</v>
      </c>
      <c r="I188">
        <v>322469</v>
      </c>
    </row>
    <row r="190" spans="1:9" x14ac:dyDescent="0.25">
      <c r="A190" t="s">
        <v>18</v>
      </c>
      <c r="B190" t="s">
        <v>17</v>
      </c>
      <c r="C190" t="s">
        <v>16</v>
      </c>
      <c r="D190" t="s">
        <v>15</v>
      </c>
      <c r="E190" t="s">
        <v>14</v>
      </c>
      <c r="F190" t="s">
        <v>13</v>
      </c>
      <c r="G190" t="s">
        <v>12</v>
      </c>
      <c r="H190" t="s">
        <v>11</v>
      </c>
      <c r="I190" t="s">
        <v>10</v>
      </c>
    </row>
    <row r="191" spans="1:9" x14ac:dyDescent="0.25">
      <c r="B191" t="s">
        <v>3</v>
      </c>
      <c r="C191" s="2">
        <v>0</v>
      </c>
      <c r="D191" t="s">
        <v>9</v>
      </c>
      <c r="E191" t="s">
        <v>8</v>
      </c>
      <c r="F191" t="s">
        <v>4</v>
      </c>
      <c r="G191" t="s">
        <v>7</v>
      </c>
      <c r="H191">
        <v>101325</v>
      </c>
      <c r="I191">
        <v>805250</v>
      </c>
    </row>
    <row r="192" spans="1:9" x14ac:dyDescent="0.25">
      <c r="B192" t="s">
        <v>3</v>
      </c>
      <c r="C192" s="2">
        <v>4.1666666666666664E-2</v>
      </c>
      <c r="D192" t="s">
        <v>9</v>
      </c>
      <c r="E192" t="s">
        <v>8</v>
      </c>
      <c r="F192" t="s">
        <v>4</v>
      </c>
      <c r="G192" t="s">
        <v>7</v>
      </c>
      <c r="H192">
        <v>101053</v>
      </c>
      <c r="I192">
        <v>805250</v>
      </c>
    </row>
    <row r="193" spans="2:9" x14ac:dyDescent="0.25">
      <c r="B193" t="s">
        <v>3</v>
      </c>
      <c r="C193" s="2">
        <v>8.3333333333333329E-2</v>
      </c>
      <c r="D193" t="s">
        <v>9</v>
      </c>
      <c r="E193" t="s">
        <v>8</v>
      </c>
      <c r="F193" t="s">
        <v>4</v>
      </c>
      <c r="G193" t="s">
        <v>7</v>
      </c>
      <c r="H193">
        <v>94556</v>
      </c>
      <c r="I193">
        <v>771288</v>
      </c>
    </row>
    <row r="194" spans="2:9" x14ac:dyDescent="0.25">
      <c r="B194" t="s">
        <v>3</v>
      </c>
      <c r="C194" s="2">
        <v>0.125</v>
      </c>
      <c r="D194" t="s">
        <v>9</v>
      </c>
      <c r="E194" t="s">
        <v>8</v>
      </c>
      <c r="F194" t="s">
        <v>4</v>
      </c>
      <c r="G194" t="s">
        <v>7</v>
      </c>
      <c r="H194">
        <v>91541</v>
      </c>
      <c r="I194">
        <v>779289</v>
      </c>
    </row>
    <row r="195" spans="2:9" x14ac:dyDescent="0.25">
      <c r="B195" t="s">
        <v>3</v>
      </c>
      <c r="C195" s="2">
        <v>0.16666666666666666</v>
      </c>
      <c r="D195" t="s">
        <v>9</v>
      </c>
      <c r="E195" t="s">
        <v>8</v>
      </c>
      <c r="F195" t="s">
        <v>4</v>
      </c>
      <c r="G195" t="s">
        <v>7</v>
      </c>
      <c r="H195">
        <v>72300</v>
      </c>
      <c r="I195">
        <v>599180</v>
      </c>
    </row>
    <row r="196" spans="2:9" x14ac:dyDescent="0.25">
      <c r="B196" t="s">
        <v>3</v>
      </c>
      <c r="C196" s="2">
        <v>0.20833333333333334</v>
      </c>
      <c r="D196" t="s">
        <v>9</v>
      </c>
      <c r="E196" t="s">
        <v>8</v>
      </c>
      <c r="F196" t="s">
        <v>4</v>
      </c>
      <c r="G196" t="s">
        <v>7</v>
      </c>
      <c r="H196">
        <v>71296</v>
      </c>
      <c r="I196">
        <v>589888</v>
      </c>
    </row>
    <row r="197" spans="2:9" x14ac:dyDescent="0.25">
      <c r="B197" t="s">
        <v>3</v>
      </c>
      <c r="C197" s="2">
        <v>0.25</v>
      </c>
      <c r="D197" t="s">
        <v>9</v>
      </c>
      <c r="E197" t="s">
        <v>8</v>
      </c>
      <c r="F197" t="s">
        <v>4</v>
      </c>
      <c r="G197" t="s">
        <v>7</v>
      </c>
      <c r="H197">
        <v>27417</v>
      </c>
      <c r="I197">
        <v>295893</v>
      </c>
    </row>
    <row r="198" spans="2:9" x14ac:dyDescent="0.25">
      <c r="B198" t="s">
        <v>3</v>
      </c>
      <c r="C198" s="2">
        <v>0.29166666666666669</v>
      </c>
      <c r="D198" t="s">
        <v>9</v>
      </c>
      <c r="E198" t="s">
        <v>8</v>
      </c>
      <c r="F198" t="s">
        <v>4</v>
      </c>
      <c r="G198" t="s">
        <v>7</v>
      </c>
      <c r="H198">
        <v>25020</v>
      </c>
      <c r="I198">
        <v>296210</v>
      </c>
    </row>
    <row r="200" spans="2:9" x14ac:dyDescent="0.25">
      <c r="B200" t="s">
        <v>3</v>
      </c>
      <c r="C200" s="2">
        <v>0</v>
      </c>
      <c r="D200" t="s">
        <v>9</v>
      </c>
      <c r="E200" t="s">
        <v>8</v>
      </c>
      <c r="F200" t="s">
        <v>4</v>
      </c>
      <c r="G200" t="s">
        <v>7</v>
      </c>
      <c r="H200">
        <v>102200</v>
      </c>
      <c r="I200">
        <v>805250</v>
      </c>
    </row>
    <row r="201" spans="2:9" x14ac:dyDescent="0.25">
      <c r="B201" t="s">
        <v>3</v>
      </c>
      <c r="C201" s="2">
        <v>4.1666666666666664E-2</v>
      </c>
      <c r="D201" t="s">
        <v>9</v>
      </c>
      <c r="E201" t="s">
        <v>8</v>
      </c>
      <c r="F201" t="s">
        <v>4</v>
      </c>
      <c r="G201" t="s">
        <v>7</v>
      </c>
      <c r="H201">
        <v>101594</v>
      </c>
      <c r="I201">
        <v>805250</v>
      </c>
    </row>
    <row r="202" spans="2:9" x14ac:dyDescent="0.25">
      <c r="B202" t="s">
        <v>3</v>
      </c>
      <c r="C202" s="2">
        <v>8.3333333333333329E-2</v>
      </c>
      <c r="D202" t="s">
        <v>9</v>
      </c>
      <c r="E202" t="s">
        <v>8</v>
      </c>
      <c r="F202" t="s">
        <v>4</v>
      </c>
      <c r="G202" t="s">
        <v>7</v>
      </c>
      <c r="H202">
        <v>94666</v>
      </c>
      <c r="I202">
        <v>769354</v>
      </c>
    </row>
    <row r="203" spans="2:9" x14ac:dyDescent="0.25">
      <c r="B203" t="s">
        <v>3</v>
      </c>
      <c r="C203" s="2">
        <v>0.125</v>
      </c>
      <c r="D203" t="s">
        <v>9</v>
      </c>
      <c r="E203" t="s">
        <v>8</v>
      </c>
      <c r="F203" t="s">
        <v>4</v>
      </c>
      <c r="G203" t="s">
        <v>7</v>
      </c>
      <c r="H203">
        <v>91622</v>
      </c>
      <c r="I203">
        <v>778658</v>
      </c>
    </row>
    <row r="204" spans="2:9" x14ac:dyDescent="0.25">
      <c r="B204" t="s">
        <v>3</v>
      </c>
      <c r="C204" s="2">
        <v>0.16666666666666666</v>
      </c>
      <c r="D204" t="s">
        <v>9</v>
      </c>
      <c r="E204" t="s">
        <v>8</v>
      </c>
      <c r="F204" t="s">
        <v>4</v>
      </c>
      <c r="G204" t="s">
        <v>7</v>
      </c>
      <c r="H204">
        <v>72512</v>
      </c>
      <c r="I204">
        <v>600140</v>
      </c>
    </row>
    <row r="205" spans="2:9" x14ac:dyDescent="0.25">
      <c r="B205" t="s">
        <v>3</v>
      </c>
      <c r="C205" s="2">
        <v>0.20833333333333334</v>
      </c>
      <c r="D205" t="s">
        <v>9</v>
      </c>
      <c r="E205" t="s">
        <v>8</v>
      </c>
      <c r="F205" t="s">
        <v>4</v>
      </c>
      <c r="G205" t="s">
        <v>7</v>
      </c>
      <c r="H205">
        <v>71296</v>
      </c>
      <c r="I205">
        <v>594048</v>
      </c>
    </row>
    <row r="206" spans="2:9" x14ac:dyDescent="0.25">
      <c r="B206" t="s">
        <v>3</v>
      </c>
      <c r="C206" s="2">
        <v>0.25</v>
      </c>
      <c r="D206" t="s">
        <v>9</v>
      </c>
      <c r="E206" t="s">
        <v>8</v>
      </c>
      <c r="F206" t="s">
        <v>4</v>
      </c>
      <c r="G206" t="s">
        <v>7</v>
      </c>
      <c r="H206">
        <v>27526</v>
      </c>
      <c r="I206">
        <v>296210</v>
      </c>
    </row>
    <row r="207" spans="2:9" x14ac:dyDescent="0.25">
      <c r="B207" t="s">
        <v>3</v>
      </c>
      <c r="C207" s="2">
        <v>0.29166666666666669</v>
      </c>
      <c r="D207" t="s">
        <v>9</v>
      </c>
      <c r="E207" t="s">
        <v>8</v>
      </c>
      <c r="F207" t="s">
        <v>4</v>
      </c>
      <c r="G207" t="s">
        <v>7</v>
      </c>
      <c r="H207">
        <v>25300</v>
      </c>
      <c r="I207">
        <v>293981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68</vt:i4>
      </vt:variant>
    </vt:vector>
  </HeadingPairs>
  <TitlesOfParts>
    <vt:vector size="91" baseType="lpstr">
      <vt:lpstr>10_10 distr</vt:lpstr>
      <vt:lpstr>10_10 DTV distr</vt:lpstr>
      <vt:lpstr>25_25 distr</vt:lpstr>
      <vt:lpstr>25_25 DTV distr</vt:lpstr>
      <vt:lpstr>50_50 distr</vt:lpstr>
      <vt:lpstr>50_50 DTV distr</vt:lpstr>
      <vt:lpstr>75_75 distr</vt:lpstr>
      <vt:lpstr>75_75 DTV distr</vt:lpstr>
      <vt:lpstr>100_100 distr</vt:lpstr>
      <vt:lpstr>100_100 DTV distr</vt:lpstr>
      <vt:lpstr>500_100 distr</vt:lpstr>
      <vt:lpstr>500_100 DTV distr</vt:lpstr>
      <vt:lpstr>Mds32 distr</vt:lpstr>
      <vt:lpstr>Mds32 DTV distr</vt:lpstr>
      <vt:lpstr>Mds29 distr</vt:lpstr>
      <vt:lpstr>Mds29 DTV distr</vt:lpstr>
      <vt:lpstr>Mds28 distr</vt:lpstr>
      <vt:lpstr>Mds28 DTV distr</vt:lpstr>
      <vt:lpstr>Mds18 distr</vt:lpstr>
      <vt:lpstr>Mds18 DTV distr</vt:lpstr>
      <vt:lpstr>config</vt:lpstr>
      <vt:lpstr>config DTV</vt:lpstr>
      <vt:lpstr>Sheet1</vt:lpstr>
      <vt:lpstr>'10_10 distr'!line_status</vt:lpstr>
      <vt:lpstr>'10_10 DTV distr'!line_status</vt:lpstr>
      <vt:lpstr>'100_100 distr'!line_status</vt:lpstr>
      <vt:lpstr>'100_100 DTV distr'!line_status</vt:lpstr>
      <vt:lpstr>'25_25 distr'!line_status</vt:lpstr>
      <vt:lpstr>'25_25 DTV distr'!line_status</vt:lpstr>
      <vt:lpstr>'50_50 distr'!line_status</vt:lpstr>
      <vt:lpstr>'50_50 DTV distr'!line_status</vt:lpstr>
      <vt:lpstr>'500_100 distr'!line_status</vt:lpstr>
      <vt:lpstr>'500_100 DTV distr'!line_status</vt:lpstr>
      <vt:lpstr>'75_75 distr'!line_status</vt:lpstr>
      <vt:lpstr>'75_75 DTV distr'!line_status</vt:lpstr>
      <vt:lpstr>'Mds18 distr'!line_status</vt:lpstr>
      <vt:lpstr>'Mds18 DTV distr'!line_status</vt:lpstr>
      <vt:lpstr>'Mds28 distr'!line_status</vt:lpstr>
      <vt:lpstr>'Mds28 DTV distr'!line_status</vt:lpstr>
      <vt:lpstr>'Mds29 distr'!line_status</vt:lpstr>
      <vt:lpstr>'Mds29 DTV distr'!line_status</vt:lpstr>
      <vt:lpstr>'Mds32 distr'!line_status</vt:lpstr>
      <vt:lpstr>'Mds32 DTV distr'!line_status</vt:lpstr>
      <vt:lpstr>'10_10 distr'!line_status_1</vt:lpstr>
      <vt:lpstr>'10_10 DTV distr'!line_status_1</vt:lpstr>
      <vt:lpstr>'100_100 distr'!line_status_1</vt:lpstr>
      <vt:lpstr>'100_100 DTV distr'!line_status_1</vt:lpstr>
      <vt:lpstr>'25_25 distr'!line_status_1</vt:lpstr>
      <vt:lpstr>'25_25 DTV distr'!line_status_1</vt:lpstr>
      <vt:lpstr>'50_50 distr'!line_status_1</vt:lpstr>
      <vt:lpstr>'50_50 DTV distr'!line_status_1</vt:lpstr>
      <vt:lpstr>'500_100 distr'!line_status_1</vt:lpstr>
      <vt:lpstr>'500_100 DTV distr'!line_status_1</vt:lpstr>
      <vt:lpstr>'75_75 distr'!line_status_1</vt:lpstr>
      <vt:lpstr>'75_75 DTV distr'!line_status_1</vt:lpstr>
      <vt:lpstr>'Mds18 distr'!line_status_1</vt:lpstr>
      <vt:lpstr>'Mds18 DTV distr'!line_status_1</vt:lpstr>
      <vt:lpstr>'Mds28 distr'!line_status_1</vt:lpstr>
      <vt:lpstr>'Mds28 DTV distr'!line_status_1</vt:lpstr>
      <vt:lpstr>'Mds29 distr'!line_status_1</vt:lpstr>
      <vt:lpstr>'Mds29 DTV distr'!line_status_1</vt:lpstr>
      <vt:lpstr>'Mds32 distr'!line_status_1</vt:lpstr>
      <vt:lpstr>'Mds32 DTV distr'!line_status_1</vt:lpstr>
      <vt:lpstr>'10_10 distr'!line_status_2</vt:lpstr>
      <vt:lpstr>'10_10 DTV distr'!line_status_2</vt:lpstr>
      <vt:lpstr>'100_100 distr'!line_status_2</vt:lpstr>
      <vt:lpstr>'100_100 DTV distr'!line_status_2</vt:lpstr>
      <vt:lpstr>'25_25 distr'!line_status_2</vt:lpstr>
      <vt:lpstr>'25_25 DTV distr'!line_status_2</vt:lpstr>
      <vt:lpstr>'50_50 distr'!line_status_2</vt:lpstr>
      <vt:lpstr>'50_50 DTV distr'!line_status_2</vt:lpstr>
      <vt:lpstr>'500_100 distr'!line_status_2</vt:lpstr>
      <vt:lpstr>'500_100 DTV distr'!line_status_2</vt:lpstr>
      <vt:lpstr>'75_75 distr'!line_status_2</vt:lpstr>
      <vt:lpstr>'75_75 DTV distr'!line_status_2</vt:lpstr>
      <vt:lpstr>'Mds18 distr'!line_status_2</vt:lpstr>
      <vt:lpstr>'Mds18 DTV distr'!line_status_2</vt:lpstr>
      <vt:lpstr>'Mds28 distr'!line_status_2</vt:lpstr>
      <vt:lpstr>'Mds28 DTV distr'!line_status_2</vt:lpstr>
      <vt:lpstr>'Mds29 distr'!line_status_2</vt:lpstr>
      <vt:lpstr>'Mds29 DTV distr'!line_status_2</vt:lpstr>
      <vt:lpstr>'Mds32 distr'!line_status_2</vt:lpstr>
      <vt:lpstr>'Mds32 DTV distr'!line_status_2</vt:lpstr>
      <vt:lpstr>'10_10 distr'!line_status_3</vt:lpstr>
      <vt:lpstr>'10_10 DTV distr'!line_status_3</vt:lpstr>
      <vt:lpstr>'25_25 distr'!line_status_3</vt:lpstr>
      <vt:lpstr>'25_25 DTV distr'!line_status_3</vt:lpstr>
      <vt:lpstr>'50_50 distr'!line_status_3</vt:lpstr>
      <vt:lpstr>'50_50 DTV distr'!line_status_3</vt:lpstr>
      <vt:lpstr>'75_75 distr'!line_status_3</vt:lpstr>
      <vt:lpstr>'75_75 DTV distr'!line_status_3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Raik Jeschke-F2</dc:creator>
  <cp:lastModifiedBy>JAN BOGORYJA-ZAKRZEWSKI</cp:lastModifiedBy>
  <dcterms:created xsi:type="dcterms:W3CDTF">2015-06-02T08:21:45Z</dcterms:created>
  <dcterms:modified xsi:type="dcterms:W3CDTF">2017-09-11T11:57:34Z</dcterms:modified>
</cp:coreProperties>
</file>